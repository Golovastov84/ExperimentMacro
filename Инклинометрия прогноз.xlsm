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Головастов\полезное\"/>
    </mc:Choice>
  </mc:AlternateContent>
  <xr:revisionPtr revIDLastSave="0" documentId="13_ncr:1_{7D898C2F-E977-4D56-9BF7-7E4325BD5D6E}" xr6:coauthVersionLast="44" xr6:coauthVersionMax="44" xr10:uidLastSave="{00000000-0000-0000-0000-000000000000}"/>
  <bookViews>
    <workbookView xWindow="-120" yWindow="-120" windowWidth="20730" windowHeight="11160" xr2:uid="{F2F5DAD2-9E76-4EFC-AF1F-394400D533C2}"/>
  </bookViews>
  <sheets>
    <sheet name="Лист1" sheetId="1" r:id="rId1"/>
    <sheet name="Фактический_профиль" sheetId="3" r:id="rId2"/>
    <sheet name="Проектный_профиль_ЦГБ" sheetId="4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\7">'[1]Cost est.'!#REF!</definedName>
    <definedName name="___JV1">#REF!</definedName>
    <definedName name="__dop1">#REF!</definedName>
    <definedName name="__Int1">#REF!</definedName>
    <definedName name="__NPT9">#REF!</definedName>
    <definedName name="__PT9">#REF!</definedName>
    <definedName name="_dop1">#REF!</definedName>
    <definedName name="_Int1">#REF!</definedName>
    <definedName name="_int10">[2]Проект!$AA$13</definedName>
    <definedName name="_int11">[2]Проект!$AA$14</definedName>
    <definedName name="_int12">[2]Проект!$AA$15</definedName>
    <definedName name="_int13">[2]Проект!$AA$16</definedName>
    <definedName name="_int14">[2]Проект!$AA$17</definedName>
    <definedName name="_int15">[2]Проект!$AA$18</definedName>
    <definedName name="_Int2">[2]Проект!$AA$5</definedName>
    <definedName name="_Int3">[2]Проект!$AA$6</definedName>
    <definedName name="_Int4">[2]Проект!$AA$7</definedName>
    <definedName name="_Int5">[2]Проект!$AA$8</definedName>
    <definedName name="_Int6">[2]Проект!$AA$9</definedName>
    <definedName name="_int7">[2]Проект!$AA$10</definedName>
    <definedName name="_int8">[2]Проект!$AA$11</definedName>
    <definedName name="_int9">[2]Проект!$AA$12</definedName>
    <definedName name="_JV1">#REF!</definedName>
    <definedName name="_Key1" hidden="1">#REF!</definedName>
    <definedName name="_NPT9">#REF!</definedName>
    <definedName name="_Order1" hidden="1">255</definedName>
    <definedName name="_Otx1">[2]Проект!$F$7</definedName>
    <definedName name="_PT9">#REF!</definedName>
    <definedName name="_Sort" hidden="1">#REF!</definedName>
    <definedName name="_TT9">#REF!</definedName>
    <definedName name="AFE">[3]DAY!$F$8</definedName>
    <definedName name="After_Prod_M3">#REF!</definedName>
    <definedName name="Altit">[2]Данные!$F$4</definedName>
    <definedName name="API_Number">#REF!</definedName>
    <definedName name="Asr">#REF!</definedName>
    <definedName name="Az">[4]Проект!$E$6</definedName>
    <definedName name="Az_1">[2]Проект!$F$6</definedName>
    <definedName name="az0">[2]Проект!$E$15</definedName>
    <definedName name="AZI">#REF!</definedName>
    <definedName name="AZI_DIFF">#REF!-#REF!</definedName>
    <definedName name="AzimColumn">#REF!</definedName>
    <definedName name="AzimUnit">#REF!</definedName>
    <definedName name="azint1">[2]Проект!$AC$4</definedName>
    <definedName name="azint10">[2]Проект!$AC$13</definedName>
    <definedName name="azint11">[2]Проект!$AC$14</definedName>
    <definedName name="azint12">[2]Проект!$AC$15</definedName>
    <definedName name="azint13">[2]Проект!$AC$16</definedName>
    <definedName name="azint14">[2]Проект!$AC$17</definedName>
    <definedName name="azint15">[2]Проект!$AC$18</definedName>
    <definedName name="azint2">[2]Проект!$AC$5</definedName>
    <definedName name="azint3">[2]Проект!$AC$6</definedName>
    <definedName name="azint4">[2]Проект!$AC$7</definedName>
    <definedName name="azint5">[2]Проект!$AC$8</definedName>
    <definedName name="azint6">[2]Проект!$AC$9</definedName>
    <definedName name="azint7">[2]Проект!$AC$10</definedName>
    <definedName name="azint8">[2]Проект!$AC$11</definedName>
    <definedName name="azint9">[2]Проект!$AC$12</definedName>
    <definedName name="Before_Prod_M3">#REF!</definedName>
    <definedName name="Before_ProdRate_M3">#REF!</definedName>
    <definedName name="BH_DIR" localSheetId="2">ATAN2(Проектный_профиль_ЦГБ!N_S,Проектный_профиль_ЦГБ!E_W)*RAD</definedName>
    <definedName name="BH_DIR" localSheetId="1">ATAN2(Фактический_профиль!N_S,Фактический_профиль!E_W)*RAD</definedName>
    <definedName name="BH_DIR">ATAN2(N_S,E_W)*RAD</definedName>
    <definedName name="BH_DISP" localSheetId="2">SQRT((Проектный_профиль_ЦГБ!N_S*Проектный_профиль_ЦГБ!N_S)+(Проектный_профиль_ЦГБ!E_W*Проектный_профиль_ЦГБ!E_W))</definedName>
    <definedName name="BH_DISP" localSheetId="1">SQRT((Фактический_профиль!N_S*Фактический_профиль!N_S)+(Фактический_профиль!E_W*Фактический_профиль!E_W))</definedName>
    <definedName name="BH_DISP">SQRT((N_S*N_S)+(E_W*E_W))</definedName>
    <definedName name="BHCIP">#REF!</definedName>
    <definedName name="BLD" localSheetId="2">DLS_PER*(#REF!-#REF!)/CL</definedName>
    <definedName name="BLD" localSheetId="1">DLS_PER*(#REF!-#REF!)/CL</definedName>
    <definedName name="BLD">DLS_PER*(#REF!-#REF!)/CL</definedName>
    <definedName name="Bop">1</definedName>
    <definedName name="BoreholeName">#REF!</definedName>
    <definedName name="BP_Column" localSheetId="2">NULL</definedName>
    <definedName name="BP_Column" localSheetId="1">NULL</definedName>
    <definedName name="BP_Column">NULL</definedName>
    <definedName name="BP_Unit" localSheetId="2">NULL</definedName>
    <definedName name="BP_Unit" localSheetId="1">NULL</definedName>
    <definedName name="BP_Unit">NULL</definedName>
    <definedName name="BP_Unit1" localSheetId="2">NULL</definedName>
    <definedName name="BP_Unit1" localSheetId="1">NULL</definedName>
    <definedName name="BP_Unit1">NULL</definedName>
    <definedName name="BPCOLUMN" localSheetId="2">NULL</definedName>
    <definedName name="BPCOLUMN" localSheetId="1">NULL</definedName>
    <definedName name="BPCOLUMN">NULL</definedName>
    <definedName name="BPUNIT" localSheetId="2">NULL</definedName>
    <definedName name="BPUNIT" localSheetId="1">NULL</definedName>
    <definedName name="BPUNIT">NULL</definedName>
    <definedName name="BR_Unit1" localSheetId="2">NULL</definedName>
    <definedName name="BR_Unit1" localSheetId="1">NULL</definedName>
    <definedName name="BR_Unit1">NULL</definedName>
    <definedName name="BUR" localSheetId="2">(TARGET_INCL-#REF!)*DLS_PER/Проектный_профиль_ЦГБ!INT</definedName>
    <definedName name="BUR" localSheetId="1">(TARGET_INCL-#REF!)*DLS_PER/Фактический_профиль!INT</definedName>
    <definedName name="BUR">(TARGET_INCL-#REF!)*DLS_PER/INT</definedName>
    <definedName name="BUR_START" localSheetId="2">(TARGET_INCL-INC)*DLS_PER/#REF!</definedName>
    <definedName name="BUR_START" localSheetId="1">(TARGET_INCL-INC)*DLS_PER/#REF!</definedName>
    <definedName name="BUR_START">(TARGET_INCL-INC)*DLS_PER/#REF!</definedName>
    <definedName name="CALC_AZI">IF(#REF!&lt;0,360+#REF!,#REF!)</definedName>
    <definedName name="Cas_ID">#REF!</definedName>
    <definedName name="Casing_ID">#REF!</definedName>
    <definedName name="ccfgtt" localSheetId="2">NULL</definedName>
    <definedName name="ccfgtt" localSheetId="1">NULL</definedName>
    <definedName name="ccfgtt">NULL</definedName>
    <definedName name="chfgtt" localSheetId="2">NULL</definedName>
    <definedName name="chfgtt" localSheetId="1">NULL</definedName>
    <definedName name="chfgtt">NULL</definedName>
    <definedName name="CL">#REF!-#REF!</definedName>
    <definedName name="class">[5]Lookup!$C$1:$C$45</definedName>
    <definedName name="Client">#REF!</definedName>
    <definedName name="ClosureAzimColumn">#REF!</definedName>
    <definedName name="ClosureAzimUnit">#REF!</definedName>
    <definedName name="ClosureColumn">#REF!</definedName>
    <definedName name="ClosureUnit">#REF!</definedName>
    <definedName name="CommentColumn">#REF!</definedName>
    <definedName name="CoordinateReference">#REF!</definedName>
    <definedName name="CoordinateSystem">#REF!</definedName>
    <definedName name="D_ug">#REF!</definedName>
    <definedName name="D_ugu">[2]КИП!#REF!</definedName>
    <definedName name="DataRowCenterAlignDark" localSheetId="1">#REF!</definedName>
    <definedName name="DataRowCenterAlignDark">#REF!</definedName>
    <definedName name="DataRowCenterAlignDarkItalics" localSheetId="1">#REF!</definedName>
    <definedName name="DataRowCenterAlignDarkItalics">#REF!</definedName>
    <definedName name="DataRowCenterAlignLight" localSheetId="1">#REF!</definedName>
    <definedName name="DataRowCenterAlignLight">#REF!</definedName>
    <definedName name="DataRowCenterAlignLightItalics" localSheetId="1">#REF!</definedName>
    <definedName name="DataRowCenterAlignLightItalics">#REF!</definedName>
    <definedName name="DataRowCrossCenterLight" localSheetId="1">#REF!</definedName>
    <definedName name="DataRowCrossCenterLight">#REF!</definedName>
    <definedName name="DataRowLeftAlignDark" localSheetId="1">#REF!</definedName>
    <definedName name="DataRowLeftAlignDark">#REF!</definedName>
    <definedName name="DataRowLeftAlignDarkItalics" localSheetId="1">#REF!</definedName>
    <definedName name="DataRowLeftAlignDarkItalics">#REF!</definedName>
    <definedName name="DataRowLeftAlignLight" localSheetId="1">#REF!</definedName>
    <definedName name="DataRowLeftAlignLight">#REF!</definedName>
    <definedName name="DataRowLeftAlignLightItalics" localSheetId="1">#REF!</definedName>
    <definedName name="DataRowLeftAlignLightItalics">#REF!</definedName>
    <definedName name="DataRowRightAlignDark" localSheetId="1">#REF!</definedName>
    <definedName name="DataRowRightAlignDark">#REF!</definedName>
    <definedName name="DataRowRightAlignDark0" localSheetId="1">#REF!</definedName>
    <definedName name="DataRowRightAlignDark0">#REF!</definedName>
    <definedName name="DataRowRightAlignDark1" localSheetId="1">#REF!</definedName>
    <definedName name="DataRowRightAlignDark1">#REF!</definedName>
    <definedName name="DataRowRightAlignDark10" localSheetId="1">#REF!</definedName>
    <definedName name="DataRowRightAlignDark10">#REF!</definedName>
    <definedName name="DataRowRightAlignDark2" localSheetId="1">#REF!</definedName>
    <definedName name="DataRowRightAlignDark2">#REF!</definedName>
    <definedName name="DataRowRightAlignDark3" localSheetId="1">#REF!</definedName>
    <definedName name="DataRowRightAlignDark3">#REF!</definedName>
    <definedName name="DataRowRightAlignDark4" localSheetId="1">#REF!</definedName>
    <definedName name="DataRowRightAlignDark4">#REF!</definedName>
    <definedName name="DataRowRightAlignDark5" localSheetId="1">#REF!</definedName>
    <definedName name="DataRowRightAlignDark5">#REF!</definedName>
    <definedName name="DataRowRightAlignDark6" localSheetId="1">#REF!</definedName>
    <definedName name="DataRowRightAlignDark6">#REF!</definedName>
    <definedName name="DataRowRightAlignDark7" localSheetId="1">#REF!</definedName>
    <definedName name="DataRowRightAlignDark7">#REF!</definedName>
    <definedName name="DataRowRightAlignDark8" localSheetId="1">#REF!</definedName>
    <definedName name="DataRowRightAlignDark8">#REF!</definedName>
    <definedName name="DataRowRightAlignDark9" localSheetId="1">#REF!</definedName>
    <definedName name="DataRowRightAlignDark9">#REF!</definedName>
    <definedName name="DataRowRightAlignDarkItalics" localSheetId="1">#REF!</definedName>
    <definedName name="DataRowRightAlignDarkItalics">#REF!</definedName>
    <definedName name="DataRowRightAlignDarkItalics0" localSheetId="1">#REF!</definedName>
    <definedName name="DataRowRightAlignDarkItalics0">#REF!</definedName>
    <definedName name="DataRowRightAlignDarkItalics1" localSheetId="1">#REF!</definedName>
    <definedName name="DataRowRightAlignDarkItalics1">#REF!</definedName>
    <definedName name="DataRowRightAlignDarkItalics10" localSheetId="1">#REF!</definedName>
    <definedName name="DataRowRightAlignDarkItalics10">#REF!</definedName>
    <definedName name="DataRowRightAlignDarkItalics2" localSheetId="1">#REF!</definedName>
    <definedName name="DataRowRightAlignDarkItalics2">#REF!</definedName>
    <definedName name="DataRowRightAlignDarkItalics3" localSheetId="1">#REF!</definedName>
    <definedName name="DataRowRightAlignDarkItalics3">#REF!</definedName>
    <definedName name="DataRowRightAlignDarkItalics4" localSheetId="1">#REF!</definedName>
    <definedName name="DataRowRightAlignDarkItalics4">#REF!</definedName>
    <definedName name="DataRowRightAlignDarkItalics5" localSheetId="1">#REF!</definedName>
    <definedName name="DataRowRightAlignDarkItalics5">#REF!</definedName>
    <definedName name="DataRowRightAlignDarkItalics6" localSheetId="1">#REF!</definedName>
    <definedName name="DataRowRightAlignDarkItalics6">#REF!</definedName>
    <definedName name="DataRowRightAlignDarkItalics7" localSheetId="1">#REF!</definedName>
    <definedName name="DataRowRightAlignDarkItalics7">#REF!</definedName>
    <definedName name="DataRowRightAlignDarkItalics8" localSheetId="1">#REF!</definedName>
    <definedName name="DataRowRightAlignDarkItalics8">#REF!</definedName>
    <definedName name="DataRowRightAlignDarkItalics9" localSheetId="1">#REF!</definedName>
    <definedName name="DataRowRightAlignDarkItalics9">#REF!</definedName>
    <definedName name="DataRowRightAlignLight" localSheetId="1">#REF!</definedName>
    <definedName name="DataRowRightAlignLight">#REF!</definedName>
    <definedName name="DataRowRightAlignLight0" localSheetId="1">#REF!</definedName>
    <definedName name="DataRowRightAlignLight0">#REF!</definedName>
    <definedName name="DataRowRightAlignLight1" localSheetId="1">#REF!</definedName>
    <definedName name="DataRowRightAlignLight1">#REF!</definedName>
    <definedName name="DataRowRightAlignLight10" localSheetId="1">#REF!</definedName>
    <definedName name="DataRowRightAlignLight10">#REF!</definedName>
    <definedName name="DataRowRightAlignLight2" localSheetId="1">#REF!</definedName>
    <definedName name="DataRowRightAlignLight2">#REF!</definedName>
    <definedName name="DataRowRightAlignLight3" localSheetId="1">#REF!</definedName>
    <definedName name="DataRowRightAlignLight3">#REF!</definedName>
    <definedName name="DataRowRightAlignLight4" localSheetId="1">#REF!</definedName>
    <definedName name="DataRowRightAlignLight4">#REF!</definedName>
    <definedName name="DataRowRightAlignLight5" localSheetId="1">#REF!</definedName>
    <definedName name="DataRowRightAlignLight5">#REF!</definedName>
    <definedName name="DataRowRightAlignLight6" localSheetId="1">#REF!</definedName>
    <definedName name="DataRowRightAlignLight6">#REF!</definedName>
    <definedName name="DataRowRightAlignLight7" localSheetId="1">#REF!</definedName>
    <definedName name="DataRowRightAlignLight7">#REF!</definedName>
    <definedName name="DataRowRightAlignLight8" localSheetId="1">#REF!</definedName>
    <definedName name="DataRowRightAlignLight8">#REF!</definedName>
    <definedName name="DataRowRightAlignLight9" localSheetId="1">#REF!</definedName>
    <definedName name="DataRowRightAlignLight9">#REF!</definedName>
    <definedName name="DataRowRightAlignLightItalics" localSheetId="1">#REF!</definedName>
    <definedName name="DataRowRightAlignLightItalics">#REF!</definedName>
    <definedName name="DataRowRightAlignLightItalics0" localSheetId="1">#REF!</definedName>
    <definedName name="DataRowRightAlignLightItalics0">#REF!</definedName>
    <definedName name="DataRowRightAlignLightItalics1" localSheetId="1">#REF!</definedName>
    <definedName name="DataRowRightAlignLightItalics1">#REF!</definedName>
    <definedName name="DataRowRightAlignLightItalics10" localSheetId="1">#REF!</definedName>
    <definedName name="DataRowRightAlignLightItalics10">#REF!</definedName>
    <definedName name="DataRowRightAlignLightItalics2" localSheetId="1">#REF!</definedName>
    <definedName name="DataRowRightAlignLightItalics2">#REF!</definedName>
    <definedName name="DataRowRightAlignLightItalics3" localSheetId="1">#REF!</definedName>
    <definedName name="DataRowRightAlignLightItalics3">#REF!</definedName>
    <definedName name="DataRowRightAlignLightItalics4" localSheetId="1">#REF!</definedName>
    <definedName name="DataRowRightAlignLightItalics4">#REF!</definedName>
    <definedName name="DataRowRightAlignLightItalics5" localSheetId="1">#REF!</definedName>
    <definedName name="DataRowRightAlignLightItalics5">#REF!</definedName>
    <definedName name="DataRowRightAlignLightItalics6" localSheetId="1">#REF!</definedName>
    <definedName name="DataRowRightAlignLightItalics6">#REF!</definedName>
    <definedName name="DataRowRightAlignLightItalics7" localSheetId="1">#REF!</definedName>
    <definedName name="DataRowRightAlignLightItalics7">#REF!</definedName>
    <definedName name="DataRowRightAlignLightItalics8" localSheetId="1">#REF!</definedName>
    <definedName name="DataRowRightAlignLightItalics8">#REF!</definedName>
    <definedName name="DataRowRightAlignLightItalics9" localSheetId="1">#REF!</definedName>
    <definedName name="DataRowRightAlignLightItalics9">#REF!</definedName>
    <definedName name="DataStart">#REF!</definedName>
    <definedName name="Date">#REF!</definedName>
    <definedName name="DBGETVSG" localSheetId="2">NULL</definedName>
    <definedName name="DBGETVSG" localSheetId="1">NULL</definedName>
    <definedName name="DBGETVSG">NULL</definedName>
    <definedName name="DDGETVSG" localSheetId="2">NULL</definedName>
    <definedName name="DDGETVSG" localSheetId="1">NULL</definedName>
    <definedName name="DDGETVSG">NULL</definedName>
    <definedName name="ddgjmey" localSheetId="2">NULL</definedName>
    <definedName name="ddgjmey" localSheetId="1">NULL</definedName>
    <definedName name="ddgjmey">NULL</definedName>
    <definedName name="DEG">PI()/180</definedName>
    <definedName name="dfgjmey" localSheetId="2">NULL</definedName>
    <definedName name="dfgjmey" localSheetId="1">NULL</definedName>
    <definedName name="dfgjmey">NULL</definedName>
    <definedName name="DipAngle">#REF!</definedName>
    <definedName name="DIR_L_OR_R" localSheetId="2">ATAN2(TARGET_N_S-SURFACE_N_S,TARGET_E_W-SURFACE_E_W)*RAD</definedName>
    <definedName name="DIR_L_OR_R" localSheetId="1">ATAN2(TARGET_N_S-SURFACE_N_S,TARGET_E_W-SURFACE_E_W)*RAD</definedName>
    <definedName name="DIR_L_OR_R">ATAN2(TARGET_N_S-SURFACE_N_S,TARGET_E_W-SURFACE_E_W)*RAD</definedName>
    <definedName name="DLF" localSheetId="2">ACOS(COS(DEG*(#REF!-#REF!))-(SIN(DEG*#REF!))*(SIN(DEG*#REF!))*(1-(COS(DEG*(#REF!-#REF!)))))*RAD</definedName>
    <definedName name="DLF" localSheetId="1">ACOS(COS(DEG*(#REF!-#REF!))-(SIN(DEG*#REF!))*(SIN(DEG*#REF!))*(1-(COS(DEG*(#REF!-#REF!)))))*RAD</definedName>
    <definedName name="DLF">ACOS(COS(DEG*(#REF!-#REF!))-(SIN(DEG*#REF!))*(SIN(DEG*#REF!))*(1-(COS(DEG*(#REF!-#REF!)))))*RAD</definedName>
    <definedName name="DLFB" localSheetId="2">ACOS(COS(DEG*(TARGET_INCL-#REF!))-(SIN(DEG*#REF!))*(SIN(DEG*TARGET_INCL))*(1-(COS(DEG*(PROP_AZI-#REF!)))))*RAD</definedName>
    <definedName name="DLFB" localSheetId="1">ACOS(COS(DEG*(TARGET_INCL-#REF!))-(SIN(DEG*#REF!))*(SIN(DEG*TARGET_INCL))*(1-(COS(DEG*(PROP_AZI-#REF!)))))*RAD</definedName>
    <definedName name="DLFB">ACOS(COS(DEG*(TARGET_INCL-#REF!))-(SIN(DEG*#REF!))*(SIN(DEG*TARGET_INCL))*(1-(COS(DEG*(PROP_AZI-#REF!)))))*RAD</definedName>
    <definedName name="DLS" localSheetId="2">Проектный_профиль_ЦГБ!DLF*DLS_PER/CL</definedName>
    <definedName name="DLS" localSheetId="1">Фактический_профиль!DLF*DLS_PER/CL</definedName>
    <definedName name="DLS">DLF*DLS_PER/CL</definedName>
    <definedName name="DLS_Column">#REF!</definedName>
    <definedName name="DLS_CompMethod">#REF!</definedName>
    <definedName name="DLS_PER">#REF!</definedName>
    <definedName name="DLS_Unit">#REF!</definedName>
    <definedName name="dop">#REF!</definedName>
    <definedName name="DrillSiteOrWellPad">#REF!</definedName>
    <definedName name="E_W" localSheetId="2">#REF!+Проектный_профиль_ЦГБ!E_WINT</definedName>
    <definedName name="E_W" localSheetId="1">#REF!+Фактический_профиль!E_WINT</definedName>
    <definedName name="E_W">#REF!+E_WINT</definedName>
    <definedName name="E_WINT" localSheetId="2">(CL/2)*((SIN(DEG*#REF!)*SIN(DEG*#REF!))+(SIN(DEG*#REF!)*SIN(DEG*#REF!)))*Проектный_профиль_ЦГБ!RFB</definedName>
    <definedName name="E_WINT" localSheetId="1">(CL/2)*((SIN(DEG*#REF!)*SIN(DEG*#REF!))+(SIN(DEG*#REF!)*SIN(DEG*#REF!)))*Фактический_профиль!RFB</definedName>
    <definedName name="E_WINT">(CL/2)*((SIN(DEG*#REF!)*SIN(DEG*#REF!))+(SIN(DEG*#REF!)*SIN(DEG*#REF!)))*RFB</definedName>
    <definedName name="EDIT">'[1]Cost est.'!#REF!</definedName>
    <definedName name="Elevation">#REF!</definedName>
    <definedName name="ElevationReference">#REF!</definedName>
    <definedName name="EmptyRow" localSheetId="1">#REF!</definedName>
    <definedName name="EmptyRow">#REF!</definedName>
    <definedName name="ESP_MD">#REF!</definedName>
    <definedName name="EW_Column">#REF!</definedName>
    <definedName name="EW_Unit">#REF!</definedName>
    <definedName name="Expected_End">#REF!</definedName>
    <definedName name="f">[6]Lookup!$B$1:$B$290</definedName>
    <definedName name="fax_12_columns">#REF!</definedName>
    <definedName name="fax_13_columns">#REF!</definedName>
    <definedName name="fax_2">#REF!</definedName>
    <definedName name="fax_3">#REF!</definedName>
    <definedName name="fax_4">#REF!,#REF!</definedName>
    <definedName name="fax_7_column">#REF!</definedName>
    <definedName name="fax_8.1_columns">#REF!,#REF!</definedName>
    <definedName name="FieldName">#REF!</definedName>
    <definedName name="FieldStrength">#REF!</definedName>
    <definedName name="FloatingStart" localSheetId="1">#REF!</definedName>
    <definedName name="FloatingStart">#REF!</definedName>
    <definedName name="g">[6]Lookup!$F$7:$F$8</definedName>
    <definedName name="GeodeticLocation">#REF!</definedName>
    <definedName name="GeomagInfoFirstRow" localSheetId="1">#REF!</definedName>
    <definedName name="GeomagInfoFirstRow">#REF!</definedName>
    <definedName name="GridConvergence">#REF!</definedName>
    <definedName name="GridLocation">#REF!</definedName>
    <definedName name="GroundLevelElevation">#REF!</definedName>
    <definedName name="H_vert">[2]Проект!$E$5</definedName>
    <definedName name="Help.ToggleHelpText" localSheetId="1">#N/A</definedName>
    <definedName name="Help.ToggleHelpText">#N/A</definedName>
    <definedName name="HelpAgain.ToggleHelpText" localSheetId="1">#N/A</definedName>
    <definedName name="HelpAgain.ToggleHelpText">#N/A</definedName>
    <definedName name="Hvert">[4]Проект!$E$5</definedName>
    <definedName name="Hvert1">[2]Проект!$F$5</definedName>
    <definedName name="i">[6]Lookup!$C$1:$C$300</definedName>
    <definedName name="IInt1">[2]Проект!$AB$4</definedName>
    <definedName name="IInt2">[2]Проект!$AB$5</definedName>
    <definedName name="IInt3">[2]Проект!$AB$6</definedName>
    <definedName name="IInt4">[2]Проект!$AB$7</definedName>
    <definedName name="IInt5">[2]Проект!$AB$8</definedName>
    <definedName name="IInt6">[2]Проект!$AB$9</definedName>
    <definedName name="INC">#REF!</definedName>
    <definedName name="INC_DIFF">#REF!-#REF!</definedName>
    <definedName name="InclColumn">#REF!</definedName>
    <definedName name="InclUnit">#REF!</definedName>
    <definedName name="inp_2">#REF!,#REF!,#REF!,#REF!,#REF!,#REF!,#REF!,#REF!,#REF!,#REF!,#REF!,#REF!,#REF!,#REF!,#REF!,#REF!,#REF!,#REF!,#REF!,#REF!,#REF!,#REF!,#REF!,#REF!,#REF!</definedName>
    <definedName name="input_zone">#REF!,#REF!,#REF!,#REF!,#REF!,#REF!,#REF!,#REF!,#REF!,#REF!,#REF!,#REF!,#REF!,#REF!,#REF!,#REF!,#REF!,#REF!,#REF!,#REF!,#REF!,#REF!,#REF!,#REF!,#REF!</definedName>
    <definedName name="INT" localSheetId="2">2*(TARGET_TVD-Проектный_профиль_ЦГБ!TVD)/(Проектный_профиль_ЦГБ!RF*(COS(TARGET_INCL*DEG)+COS(#REF!*DEG)))</definedName>
    <definedName name="INT" localSheetId="1">2*(TARGET_TVD-Фактический_профиль!TVD)/(Фактический_профиль!RF*(COS(TARGET_INCL*DEG)+COS(#REF!*DEG)))</definedName>
    <definedName name="INT">2*(TARGET_TVD-TVD)/(RF*(COS(TARGET_INCL*DEG)+COS(#REF!*DEG)))</definedName>
    <definedName name="INT_START" localSheetId="2">2*(TARGET_TVD-#REF!)/(Проектный_профиль_ЦГБ!RF*(COS(TARGET_INCL*DEG)+COS(INC*DEG)))</definedName>
    <definedName name="INT_START" localSheetId="1">2*(TARGET_TVD-#REF!)/(Фактический_профиль!RF*(COS(TARGET_INCL*DEG)+COS(INC*DEG)))</definedName>
    <definedName name="INT_START">2*(TARGET_TVD-#REF!)/(RF*(COS(TARGET_INCL*DEG)+COS(INC*DEG)))</definedName>
    <definedName name="j">[6]Lookup!$A$1:$A$12</definedName>
    <definedName name="l">[6]Lookup!$E$1:$E$4</definedName>
    <definedName name="LC_CAP">#REF!</definedName>
    <definedName name="LCL">#REF!</definedName>
    <definedName name="Legal" localSheetId="1">#REF!</definedName>
    <definedName name="Legal">#REF!</definedName>
    <definedName name="lint10">[2]Проект!$AB$13</definedName>
    <definedName name="lint11">[2]Проект!$AB$14</definedName>
    <definedName name="lint12">[2]Проект!$AB$15</definedName>
    <definedName name="lint13">[2]Проект!$AB$16</definedName>
    <definedName name="lint14">[2]Проект!$AB$17</definedName>
    <definedName name="lint15">[2]Проект!$AB$18</definedName>
    <definedName name="lint7">[2]Проект!$AB$10</definedName>
    <definedName name="lInt8">[2]Проект!$AB$11</definedName>
    <definedName name="lint9">[2]Проект!$AB$12</definedName>
    <definedName name="ListType">#REF!</definedName>
    <definedName name="LTL">#REF!</definedName>
    <definedName name="Macro1" localSheetId="1">#N/A</definedName>
    <definedName name="Macro1">#N/A</definedName>
    <definedName name="Macro10" localSheetId="1">#N/A</definedName>
    <definedName name="Macro10">#N/A</definedName>
    <definedName name="Macro11" localSheetId="1">#N/A</definedName>
    <definedName name="Macro11">#N/A</definedName>
    <definedName name="Macro2" localSheetId="1">#N/A</definedName>
    <definedName name="Macro2">#N/A</definedName>
    <definedName name="Macro20" localSheetId="1">#N/A</definedName>
    <definedName name="Macro20">#N/A</definedName>
    <definedName name="Macro21" localSheetId="1">#N/A</definedName>
    <definedName name="Macro21">#N/A</definedName>
    <definedName name="Macro22" localSheetId="1">#N/A</definedName>
    <definedName name="Macro22">#N/A</definedName>
    <definedName name="Macro23" localSheetId="1">#N/A</definedName>
    <definedName name="Macro23">#N/A</definedName>
    <definedName name="Macro25" localSheetId="1">#N/A</definedName>
    <definedName name="Macro25">#N/A</definedName>
    <definedName name="Macro28" localSheetId="1">#N/A</definedName>
    <definedName name="Macro28">#N/A</definedName>
    <definedName name="Macro29" localSheetId="1">#N/A</definedName>
    <definedName name="Macro29">#N/A</definedName>
    <definedName name="Macro3" localSheetId="1">#N/A</definedName>
    <definedName name="Macro3">#N/A</definedName>
    <definedName name="Macro30" localSheetId="1">#N/A</definedName>
    <definedName name="Macro30">#N/A</definedName>
    <definedName name="Macro4" localSheetId="1">#N/A</definedName>
    <definedName name="Macro4">#N/A</definedName>
    <definedName name="Macro5" localSheetId="1">#N/A</definedName>
    <definedName name="Macro5">#N/A</definedName>
    <definedName name="Macro7" localSheetId="1">#N/A</definedName>
    <definedName name="Macro7">#N/A</definedName>
    <definedName name="Macro8" localSheetId="1">#N/A</definedName>
    <definedName name="Macro8">#N/A</definedName>
    <definedName name="Macro9" localSheetId="1">#N/A</definedName>
    <definedName name="Macro9">#N/A</definedName>
    <definedName name="MagneticDeclDate">#REF!</definedName>
    <definedName name="MagneticDeclination">#REF!</definedName>
    <definedName name="MagneticDeclModel">#REF!</definedName>
    <definedName name="MAIN">'[1]Cost est.'!#REF!</definedName>
    <definedName name="MD">#REF!</definedName>
    <definedName name="md_2">#REF!</definedName>
    <definedName name="MD_Column">#REF!</definedName>
    <definedName name="MD_Unit">#REF!</definedName>
    <definedName name="MID_PERF_MD">#REF!</definedName>
    <definedName name="Module1.Macro1" localSheetId="1">#N/A</definedName>
    <definedName name="Module1.Macro1">#N/A</definedName>
    <definedName name="Module1.Macro2" localSheetId="1">#N/A</definedName>
    <definedName name="Module1.Macro2">#N/A</definedName>
    <definedName name="Module1.Macro3" localSheetId="1">#N/A</definedName>
    <definedName name="Module1.Macro3">#N/A</definedName>
    <definedName name="Module1.Macro4" localSheetId="1">#N/A</definedName>
    <definedName name="Module1.Macro4">#N/A</definedName>
    <definedName name="Module1.Macro5" localSheetId="1">#N/A</definedName>
    <definedName name="Module1.Macro5">#N/A</definedName>
    <definedName name="Module1.Macro6" localSheetId="1">#N/A</definedName>
    <definedName name="Module1.Macro6">#N/A</definedName>
    <definedName name="myconstant">#REF!</definedName>
    <definedName name="N_S" localSheetId="2">#REF!+Проектный_профиль_ЦГБ!N_SINT</definedName>
    <definedName name="N_S" localSheetId="1">#REF!+Фактический_профиль!N_SINT</definedName>
    <definedName name="N_S">#REF!+N_SINT</definedName>
    <definedName name="N_SINT" localSheetId="2">(CL/2)*((SIN(DEG*#REF!)*COS(DEG*#REF!))+(SIN(DEG*#REF!)*COS(DEG*#REF!)))*Проектный_профиль_ЦГБ!RFB</definedName>
    <definedName name="N_SINT" localSheetId="1">(CL/2)*((SIN(DEG*#REF!)*COS(DEG*#REF!))+(SIN(DEG*#REF!)*COS(DEG*#REF!)))*Фактический_профиль!RFB</definedName>
    <definedName name="N_SINT">(CL/2)*((SIN(DEG*#REF!)*COS(DEG*#REF!))+(SIN(DEG*#REF!)*COS(DEG*#REF!)))*RFB</definedName>
    <definedName name="New">#REF!</definedName>
    <definedName name="NEWBefore_ProdRate_M3">#REF!</definedName>
    <definedName name="NEWCasing_ID">#REF!</definedName>
    <definedName name="NEWPBTD">#REF!</definedName>
    <definedName name="NEWSBHP">#REF!</definedName>
    <definedName name="node_11">#REF!</definedName>
    <definedName name="node_13">#REF!</definedName>
    <definedName name="node_15">#REF!</definedName>
    <definedName name="node_18">#REF!</definedName>
    <definedName name="node_2">#REF!</definedName>
    <definedName name="node_20">#REF!</definedName>
    <definedName name="node_22">#REF!</definedName>
    <definedName name="node_24">#REF!</definedName>
    <definedName name="node_29">#REF!</definedName>
    <definedName name="node_4">#REF!</definedName>
    <definedName name="node_50">#REF!</definedName>
    <definedName name="node_7">#REF!</definedName>
    <definedName name="NorthReference">#REF!</definedName>
    <definedName name="NPT1a">#REF!</definedName>
    <definedName name="NPT1b">#REF!</definedName>
    <definedName name="NPT2a">#REF!</definedName>
    <definedName name="NPT2b">#REF!</definedName>
    <definedName name="NPT2c">#REF!</definedName>
    <definedName name="NPT2d">#REF!</definedName>
    <definedName name="NPT3a">#REF!</definedName>
    <definedName name="NPT3b">#REF!</definedName>
    <definedName name="NPT4a">#REF!</definedName>
    <definedName name="NPT4b">#REF!</definedName>
    <definedName name="NPT4c">#REF!</definedName>
    <definedName name="NPT5a">#REF!</definedName>
    <definedName name="NPT5b">#REF!</definedName>
    <definedName name="NPT5c">#REF!</definedName>
    <definedName name="NS_Column">#REF!</definedName>
    <definedName name="NS_Unit">#REF!</definedName>
    <definedName name="OLD_ART_TD">#REF!</definedName>
    <definedName name="OLD_PUMP_DEPTH">#REF!</definedName>
    <definedName name="Otx">[4]Проект!$E$7</definedName>
    <definedName name="page_2">#REF!</definedName>
    <definedName name="Page1">#REF!</definedName>
    <definedName name="PBTD">#REF!</definedName>
    <definedName name="perf_MD">#REF!</definedName>
    <definedName name="perf_TVD">#REF!</definedName>
    <definedName name="Planned_End">#REF!</definedName>
    <definedName name="PRINT">'[1]Cost est.'!#REF!</definedName>
    <definedName name="PrintArea">#REF!</definedName>
    <definedName name="PROP_AZI">#REF!</definedName>
    <definedName name="PT1a">#REF!</definedName>
    <definedName name="PT1b">#REF!</definedName>
    <definedName name="PT2a">#REF!</definedName>
    <definedName name="PT2b">#REF!</definedName>
    <definedName name="PT2c">#REF!</definedName>
    <definedName name="PT2d">#REF!</definedName>
    <definedName name="PT3a">#REF!</definedName>
    <definedName name="PT3b">#REF!</definedName>
    <definedName name="PT4a">#REF!</definedName>
    <definedName name="PT4b">#REF!</definedName>
    <definedName name="PT4c">#REF!</definedName>
    <definedName name="PT5a">#REF!</definedName>
    <definedName name="PT5b">#REF!</definedName>
    <definedName name="PT5c">#REF!</definedName>
    <definedName name="RAD">180/PI()</definedName>
    <definedName name="Rdop">[4]Проект!$E$8</definedName>
    <definedName name="Rdop1">[2]Проект!$F$8</definedName>
    <definedName name="RDP">#REF!</definedName>
    <definedName name="Reached_TD">#REF!</definedName>
    <definedName name="ReportTitle">#REF!</definedName>
    <definedName name="RF" localSheetId="2">IF(Проектный_профиль_ЦГБ!DLFB=0,1,(360/(PI()*Проектный_профиль_ЦГБ!DLFB))*(1-(COS(DEG*Проектный_профиль_ЦГБ!DLFB)))/(SIN(DEG*Проектный_профиль_ЦГБ!DLFB)))</definedName>
    <definedName name="RF" localSheetId="1">IF(Фактический_профиль!DLFB=0,1,(360/(PI()*Фактический_профиль!DLFB))*(1-(COS(DEG*Фактический_профиль!DLFB)))/(SIN(DEG*Фактический_профиль!DLFB)))</definedName>
    <definedName name="RF">IF(DLFB=0,1,(360/(PI()*DLFB))*(1-(COS(DEG*DLFB)))/(SIN(DEG*DLFB)))</definedName>
    <definedName name="RFB" localSheetId="2">IF(Проектный_профиль_ЦГБ!DLF=0,1,(360/PI()/Проектный_профиль_ЦГБ!DLF)*(1-(COS(Проектный_профиль_ЦГБ!DLF*DEG)))/(SIN(Проектный_профиль_ЦГБ!DLF*DEG)))</definedName>
    <definedName name="RFB" localSheetId="1">IF(Фактический_профиль!DLF=0,1,(360/PI()/Фактический_профиль!DLF)*(1-(COS(Фактический_профиль!DLF*DEG)))/(SIN(Фактический_профиль!DLF*DEG)))</definedName>
    <definedName name="RFB">IF(DLF=0,1,(360/PI()/DLF)*(1-(COS(DLF*DEG)))/(SIN(DLF*DEG)))</definedName>
    <definedName name="Rig">#REF!</definedName>
    <definedName name="Rig_released">#REF!</definedName>
    <definedName name="Rpt_API_Number" localSheetId="1">#REF!</definedName>
    <definedName name="Rpt_API_Number">#REF!</definedName>
    <definedName name="Rpt_BoreholeName" localSheetId="1">#REF!</definedName>
    <definedName name="Rpt_BoreholeName">#REF!</definedName>
    <definedName name="Rpt_Client" localSheetId="1">#REF!</definedName>
    <definedName name="Rpt_Client">#REF!</definedName>
    <definedName name="Rpt_CoordinateReference" localSheetId="1">#REF!</definedName>
    <definedName name="Rpt_CoordinateReference">#REF!</definedName>
    <definedName name="Rpt_CoordinateSystem" localSheetId="1">#REF!</definedName>
    <definedName name="Rpt_CoordinateSystem">#REF!</definedName>
    <definedName name="Rpt_Date" localSheetId="1">#REF!</definedName>
    <definedName name="Rpt_Date">#REF!</definedName>
    <definedName name="Rpt_DipAngle" localSheetId="1">#REF!</definedName>
    <definedName name="Rpt_DipAngle">#REF!</definedName>
    <definedName name="Rpt_DrillSiteOrWellPad" localSheetId="1">#REF!</definedName>
    <definedName name="Rpt_DrillSiteOrWellPad">#REF!</definedName>
    <definedName name="Rpt_Elevation" localSheetId="1">#REF!</definedName>
    <definedName name="Rpt_Elevation">#REF!</definedName>
    <definedName name="Rpt_ElevationReference" localSheetId="1">#REF!</definedName>
    <definedName name="Rpt_ElevationReference">#REF!</definedName>
    <definedName name="Rpt_FieldName" localSheetId="1">#REF!</definedName>
    <definedName name="Rpt_FieldName">#REF!</definedName>
    <definedName name="Rpt_FieldStrength" localSheetId="1">#REF!</definedName>
    <definedName name="Rpt_FieldStrength">#REF!</definedName>
    <definedName name="Rpt_GeodeticLocation" localSheetId="1">#REF!</definedName>
    <definedName name="Rpt_GeodeticLocation">#REF!</definedName>
    <definedName name="Rpt_Gravity" localSheetId="1">#REF!</definedName>
    <definedName name="Rpt_Gravity">#REF!</definedName>
    <definedName name="Rpt_GravityModel" localSheetId="1">#REF!</definedName>
    <definedName name="Rpt_GravityModel">#REF!</definedName>
    <definedName name="Rpt_GridConvergence" localSheetId="1">#REF!</definedName>
    <definedName name="Rpt_GridConvergence">#REF!</definedName>
    <definedName name="Rpt_GridCorrection" localSheetId="1">#REF!</definedName>
    <definedName name="Rpt_GridCorrection">'[7]Плановая траектория'!#REF!</definedName>
    <definedName name="Rpt_GridLocation" localSheetId="1">#REF!</definedName>
    <definedName name="Rpt_GridLocation">#REF!</definedName>
    <definedName name="Rpt_GroundLevelElevation" localSheetId="1">#REF!</definedName>
    <definedName name="Rpt_GroundLevelElevation">#REF!</definedName>
    <definedName name="Rpt_MagneticDeclDate" localSheetId="1">#REF!</definedName>
    <definedName name="Rpt_MagneticDeclDate">#REF!</definedName>
    <definedName name="Rpt_MagneticDeclination" localSheetId="1">#REF!</definedName>
    <definedName name="Rpt_MagneticDeclination">#REF!</definedName>
    <definedName name="Rpt_MagneticDeclModel" localSheetId="1">#REF!</definedName>
    <definedName name="Rpt_MagneticDeclModel">#REF!</definedName>
    <definedName name="Rpt_NorthReference" localSheetId="1">#REF!</definedName>
    <definedName name="Rpt_NorthReference">#REF!</definedName>
    <definedName name="Rpt_ScaleFactor" localSheetId="1">#REF!</definedName>
    <definedName name="Rpt_ScaleFactor">'[7]Плановая траектория'!#REF!</definedName>
    <definedName name="Rpt_SurveyCompMethod" localSheetId="1">#REF!</definedName>
    <definedName name="Rpt_SurveyCompMethod">#REF!</definedName>
    <definedName name="Rpt_SurveyDate" localSheetId="1">#REF!</definedName>
    <definedName name="Rpt_SurveyDate">#REF!</definedName>
    <definedName name="Rpt_SurveyName" localSheetId="1">#REF!</definedName>
    <definedName name="Rpt_SurveyName">#REF!</definedName>
    <definedName name="Rpt_SurveyStats" localSheetId="1">#REF!</definedName>
    <definedName name="Rpt_SurveyStats">#REF!</definedName>
    <definedName name="Rpt_Title" localSheetId="1">#REF!</definedName>
    <definedName name="Rpt_Title">#REF!</definedName>
    <definedName name="Rpt_Title2" localSheetId="1">#REF!</definedName>
    <definedName name="Rpt_Title2">'[7]Плановая траектория'!#REF!</definedName>
    <definedName name="Rpt_TotalCorrection" localSheetId="1">#REF!</definedName>
    <definedName name="Rpt_TotalCorrection">#REF!</definedName>
    <definedName name="Rpt_TotalCorrectionLabel" localSheetId="1">#REF!</definedName>
    <definedName name="Rpt_TotalCorrectionLabel">#REF!</definedName>
    <definedName name="Rpt_Version" localSheetId="1">#REF!</definedName>
    <definedName name="Rpt_Version">#REF!</definedName>
    <definedName name="Rpt_VSEC_Azim" localSheetId="1">#REF!</definedName>
    <definedName name="Rpt_VSEC_Azim">#REF!</definedName>
    <definedName name="Rpt_VSEC_Origin" localSheetId="1">#REF!</definedName>
    <definedName name="Rpt_VSEC_Origin">#REF!</definedName>
    <definedName name="Rpt_WellName" localSheetId="1">#REF!</definedName>
    <definedName name="Rpt_WellName">#REF!</definedName>
    <definedName name="s">[6]Lookup!$F$15:$F$18</definedName>
    <definedName name="SBHP">#REF!</definedName>
    <definedName name="ScaleFactor">#REF!</definedName>
    <definedName name="Select6" localSheetId="1">#N/A</definedName>
    <definedName name="Select6">#N/A</definedName>
    <definedName name="sergesrg">#REF!</definedName>
    <definedName name="sergsergerg">#REF!</definedName>
    <definedName name="sgsergserg" hidden="1">#REF!</definedName>
    <definedName name="Slick1" localSheetId="1">#N/A</definedName>
    <definedName name="Slick1">#N/A</definedName>
    <definedName name="Slick2" localSheetId="1">#N/A</definedName>
    <definedName name="Slick2">#N/A</definedName>
    <definedName name="Slick3" localSheetId="1">#N/A</definedName>
    <definedName name="Slick3">#N/A</definedName>
    <definedName name="Spud_in">#REF!</definedName>
    <definedName name="SsbSeaTVD_Column" localSheetId="2">NULL</definedName>
    <definedName name="SsbSeaTVD_Column" localSheetId="1">NULL</definedName>
    <definedName name="SsbSeaTVD_Column">NULL</definedName>
    <definedName name="SsbSeaTVD_Unit" localSheetId="2">NULL</definedName>
    <definedName name="SsbSeaTVD_Unit" localSheetId="1">NULL</definedName>
    <definedName name="SsbSeaTVD_Unit">NULL</definedName>
    <definedName name="SSBSEATVDCOLUMN" localSheetId="2">NULL</definedName>
    <definedName name="SSBSEATVDCOLUMN" localSheetId="1">NULL</definedName>
    <definedName name="SSBSEATVDCOLUMN">NULL</definedName>
    <definedName name="SSBSEATVDUNIT" localSheetId="2">NULL</definedName>
    <definedName name="SSBSEATVDUNIT" localSheetId="1">NULL</definedName>
    <definedName name="SSBSEATVDUNIT">NULL</definedName>
    <definedName name="sssedser">#REF!</definedName>
    <definedName name="ssss">#REF!</definedName>
    <definedName name="Start_move">#REF!</definedName>
    <definedName name="Su">[6]Lookup!$F$15:$F$18</definedName>
    <definedName name="Surface">#REF!</definedName>
    <definedName name="SURFACE_E_W">#REF!</definedName>
    <definedName name="SURFACE_N_S">#REF!</definedName>
    <definedName name="SURV_NO">#REF!+1</definedName>
    <definedName name="SurveyCompMethod">#REF!</definedName>
    <definedName name="SurveyDate">#REF!</definedName>
    <definedName name="SurveyProgram">#REF!</definedName>
    <definedName name="SurveyProgramFormatA" localSheetId="1">#REF!</definedName>
    <definedName name="SurveyProgramFormatA">#REF!</definedName>
    <definedName name="SurveyProgramFormatB" localSheetId="1">#REF!</definedName>
    <definedName name="SurveyProgramFormatB">#REF!</definedName>
    <definedName name="SurveyProgramHeader" localSheetId="1">#REF!</definedName>
    <definedName name="SurveyProgramHeader">#REF!</definedName>
    <definedName name="SurveyStats">#REF!</definedName>
    <definedName name="SvyDLSCompMethod">#REF!</definedName>
    <definedName name="t">[6]Lookup!$F$7:$F$8</definedName>
    <definedName name="TableHeaderCenter" localSheetId="1">#REF!</definedName>
    <definedName name="TableHeaderCenter">#REF!</definedName>
    <definedName name="TableHeaderCrossCenter" localSheetId="1">#REF!</definedName>
    <definedName name="TableHeaderCrossCenter">#REF!</definedName>
    <definedName name="TableHeaderCrossRight" localSheetId="1">#REF!</definedName>
    <definedName name="TableHeaderCrossRight">#REF!</definedName>
    <definedName name="TableHeaderLeft" localSheetId="1">#REF!</definedName>
    <definedName name="TableHeaderLeft">#REF!</definedName>
    <definedName name="TableHeaderRight" localSheetId="1">#REF!</definedName>
    <definedName name="TableHeaderRight">#REF!</definedName>
    <definedName name="TARGET_E_W">#REF!</definedName>
    <definedName name="TARGET_INCL">#REF!</definedName>
    <definedName name="TARGET_N_S">#REF!</definedName>
    <definedName name="TARGET_TVD">#REF!</definedName>
    <definedName name="TD" localSheetId="2">#REF!+Проектный_профиль_ЦГБ!INT</definedName>
    <definedName name="TD" localSheetId="1">#REF!+Фактический_профиль!INT</definedName>
    <definedName name="TD">#REF!+INT</definedName>
    <definedName name="TD_START" localSheetId="2">MD+#REF!</definedName>
    <definedName name="TD_START" localSheetId="1">MD+#REF!</definedName>
    <definedName name="TD_START">MD+#REF!</definedName>
    <definedName name="Text" localSheetId="1">#N/A</definedName>
    <definedName name="Text">#N/A</definedName>
    <definedName name="TF_Column">#REF!</definedName>
    <definedName name="TF_Unit">#REF!</definedName>
    <definedName name="TFF" localSheetId="2">IF(INC_DIFF=0,ATAN(1000000*TAN(DEG*AZI_DIFF))*RAD,ATAN((#REF!/INC_DIFF*TAN(DEG*AZI_DIFF)))*RAD)</definedName>
    <definedName name="TFF" localSheetId="1">IF(INC_DIFF=0,ATAN(1000000*TAN(DEG*AZI_DIFF))*RAD,ATAN((#REF!/INC_DIFF*TAN(DEG*AZI_DIFF)))*RAD)</definedName>
    <definedName name="TFF">IF(INC_DIFF=0,ATAN(1000000*TAN(DEG*AZI_DIFF))*RAD,ATAN((#REF!/INC_DIFF*TAN(DEG*AZI_DIFF)))*RAD)</definedName>
    <definedName name="TFO" localSheetId="2">IF(#REF!&gt;=#REF!,(IF(#REF!&gt;=#REF!,180+Проектный_профиль_ЦГБ!TFF,Проектный_профиль_ЦГБ!TFF-180)),Проектный_профиль_ЦГБ!TFF)</definedName>
    <definedName name="TFO" localSheetId="1">IF(#REF!&gt;=#REF!,(IF(#REF!&gt;=#REF!,180+Фактический_профиль!TFF,Фактический_профиль!TFF-180)),Фактический_профиль!TFF)</definedName>
    <definedName name="TFO">IF(#REF!&gt;=#REF!,(IF(#REF!&gt;=#REF!,180+TFF,TFF-180)),TFF)</definedName>
    <definedName name="ToggleHelpText" localSheetId="1">#N/A</definedName>
    <definedName name="ToggleHelpText">#N/A</definedName>
    <definedName name="ToolsM.CasedHole" localSheetId="1">#N/A</definedName>
    <definedName name="ToolsM.CasedHole">#N/A</definedName>
    <definedName name="ToolsM.Tubing" localSheetId="1">#N/A</definedName>
    <definedName name="ToolsM.Tubing">#N/A</definedName>
    <definedName name="TotalCorrection">#REF!</definedName>
    <definedName name="TotalCorrectionLbl">#REF!</definedName>
    <definedName name="TP_Column" localSheetId="2">NULL</definedName>
    <definedName name="TP_Column" localSheetId="1">NULL</definedName>
    <definedName name="TP_Column">NULL</definedName>
    <definedName name="TP_Unit" localSheetId="2">NULL</definedName>
    <definedName name="TP_Unit" localSheetId="1">NULL</definedName>
    <definedName name="TP_Unit">NULL</definedName>
    <definedName name="TPCOLUMN" localSheetId="2">NULL</definedName>
    <definedName name="TPCOLUMN" localSheetId="1">NULL</definedName>
    <definedName name="TPCOLUMN">NULL</definedName>
    <definedName name="TPUNIT" localSheetId="2">NULL</definedName>
    <definedName name="TPUNIT" localSheetId="1">NULL</definedName>
    <definedName name="TPUNIT">NULL</definedName>
    <definedName name="TRN" localSheetId="2">DLS_PER*(#REF!-#REF!)/CL</definedName>
    <definedName name="TRN" localSheetId="1">DLS_PER*(#REF!-#REF!)/CL</definedName>
    <definedName name="TRN">DLS_PER*(#REF!-#REF!)/CL</definedName>
    <definedName name="TT1a">#REF!</definedName>
    <definedName name="TT1b">#REF!</definedName>
    <definedName name="TT2a">#REF!</definedName>
    <definedName name="TT2b">#REF!</definedName>
    <definedName name="TT2c">#REF!</definedName>
    <definedName name="TT2d">#REF!</definedName>
    <definedName name="TT3a">#REF!</definedName>
    <definedName name="TT3b">#REF!</definedName>
    <definedName name="TT4a">#REF!</definedName>
    <definedName name="TT4b">#REF!</definedName>
    <definedName name="TT4c">#REF!</definedName>
    <definedName name="TT5a">#REF!</definedName>
    <definedName name="TT5b">#REF!</definedName>
    <definedName name="TT5c">#REF!</definedName>
    <definedName name="tubing_ID">#REF!</definedName>
    <definedName name="tubing_OD">#REF!</definedName>
    <definedName name="TVD" localSheetId="2">#REF!+Проектный_профиль_ЦГБ!TVDINT</definedName>
    <definedName name="TVD" localSheetId="1">#REF!+Фактический_профиль!TVDINT</definedName>
    <definedName name="TVD">#REF!+TVDINT</definedName>
    <definedName name="TVD_Column">#REF!</definedName>
    <definedName name="TVD_Reference">#REF!</definedName>
    <definedName name="TVD_ReferenceValue">#REF!</definedName>
    <definedName name="TVD_Unit">#REF!</definedName>
    <definedName name="TVDINT" localSheetId="2">(CL/2)*(COS(#REF!*DEG)+COS(#REF!*DEG))*Проектный_профиль_ЦГБ!RFB</definedName>
    <definedName name="TVDINT" localSheetId="1">(CL/2)*(COS(#REF!*DEG)+COS(#REF!*DEG))*Фактический_профиль!RFB</definedName>
    <definedName name="TVDINT">(CL/2)*(COS(#REF!*DEG)+COS(#REF!*DEG))*RFB</definedName>
    <definedName name="UC_CAP">#REF!</definedName>
    <definedName name="UCL">#REF!</definedName>
    <definedName name="ug0">[2]Проект!$C$15</definedName>
    <definedName name="UTL">#REF!</definedName>
    <definedName name="v">[6]Lookup!$G$1:$G$12</definedName>
    <definedName name="VFFVVVV" localSheetId="2">NULL</definedName>
    <definedName name="VFFVVVV" localSheetId="1">NULL</definedName>
    <definedName name="VFFVVVV">NULL</definedName>
    <definedName name="VS" localSheetId="2">COS(DEG*(PROP_AZI-Проектный_профиль_ЦГБ!BH_DIR))*Проектный_профиль_ЦГБ!BH_DISP</definedName>
    <definedName name="VS" localSheetId="1">COS(DEG*(PROP_AZI-Фактический_профиль!BH_DIR))*Фактический_профиль!BH_DISP</definedName>
    <definedName name="VS">COS(DEG*(PROP_AZI-BH_DIR))*BH_DISP</definedName>
    <definedName name="VS_START" localSheetId="2">IF(#REF!=0,IF(#REF!=0,,COS(DEG*(PROP_AZI-ATAN2(#REF!,#REF!)*RAD))*SQRT((#REF!*#REF!)+(#REF!*#REF!))))</definedName>
    <definedName name="VS_START" localSheetId="1">IF(#REF!=0,IF(#REF!=0,,COS(DEG*(PROP_AZI-ATAN2(#REF!,#REF!)*RAD))*SQRT((#REF!*#REF!)+(#REF!*#REF!))))</definedName>
    <definedName name="VS_START">IF(#REF!=0,IF(#REF!=0,,COS(DEG*(PROP_AZI-ATAN2(#REF!,#REF!)*RAD))*SQRT((#REF!*#REF!)+(#REF!*#REF!))))</definedName>
    <definedName name="VSEC_Azim">#REF!</definedName>
    <definedName name="VSEC_Column">#REF!</definedName>
    <definedName name="VSEC_Origin">#REF!</definedName>
    <definedName name="VSEC_Unit">#REF!</definedName>
    <definedName name="VVFVVVV" localSheetId="2">NULL</definedName>
    <definedName name="VVFVVVV" localSheetId="1">NULL</definedName>
    <definedName name="VVFVVVV">NULL</definedName>
    <definedName name="WELL_NAME">#REF!</definedName>
    <definedName name="Well_TD">#REF!</definedName>
    <definedName name="Well1" localSheetId="1">#N/A</definedName>
    <definedName name="Well1">#N/A</definedName>
    <definedName name="Well10" localSheetId="1">#N/A</definedName>
    <definedName name="Well10">#N/A</definedName>
    <definedName name="Well11" localSheetId="1">#N/A</definedName>
    <definedName name="Well11">#N/A</definedName>
    <definedName name="Well12" localSheetId="1">#N/A</definedName>
    <definedName name="Well12">#N/A</definedName>
    <definedName name="Well13" localSheetId="1">#N/A</definedName>
    <definedName name="Well13">#N/A</definedName>
    <definedName name="Well14" localSheetId="1">#N/A</definedName>
    <definedName name="Well14">#N/A</definedName>
    <definedName name="Well16" localSheetId="1">#N/A</definedName>
    <definedName name="Well16">#N/A</definedName>
    <definedName name="Well17" localSheetId="1">#N/A</definedName>
    <definedName name="Well17">#N/A</definedName>
    <definedName name="Well18" localSheetId="1">#N/A</definedName>
    <definedName name="Well18">#N/A</definedName>
    <definedName name="Well2" localSheetId="1">#N/A</definedName>
    <definedName name="Well2">#N/A</definedName>
    <definedName name="Well3" localSheetId="1">#N/A</definedName>
    <definedName name="Well3">#N/A</definedName>
    <definedName name="Well4" localSheetId="1">#N/A</definedName>
    <definedName name="Well4">#N/A</definedName>
    <definedName name="Well5" localSheetId="1">#N/A</definedName>
    <definedName name="Well5">#N/A</definedName>
    <definedName name="Well6" localSheetId="1">#N/A</definedName>
    <definedName name="Well6">#N/A</definedName>
    <definedName name="Well7" localSheetId="1">#N/A</definedName>
    <definedName name="Well7">#N/A</definedName>
    <definedName name="Well8" localSheetId="1">#N/A</definedName>
    <definedName name="Well8">#N/A</definedName>
    <definedName name="Well9" localSheetId="1">#N/A</definedName>
    <definedName name="Well9">#N/A</definedName>
    <definedName name="WellName">#REF!</definedName>
    <definedName name="wergergergerg">#REF!</definedName>
    <definedName name="wergweegeg">#REF!</definedName>
    <definedName name="What">'[8]Kill Sheet'!#REF!</definedName>
    <definedName name="Whipstock" localSheetId="1">#N/A</definedName>
    <definedName name="Whipstock">#N/A</definedName>
    <definedName name="y">[6]Lookup!$E$1:$E$4</definedName>
    <definedName name="ys">[9]Lookup!$E$1:$E$4</definedName>
    <definedName name="YST.ROT">[10]Lookup!$E$1:$E$5</definedName>
    <definedName name="аагнпроп" localSheetId="2">NULL</definedName>
    <definedName name="аагнпроп" localSheetId="1">NULL</definedName>
    <definedName name="аагнпроп">NULL</definedName>
    <definedName name="аф" localSheetId="2">ACOS(COS(DEG*(#REF!-#REF!))-(SIN(DEG*#REF!))*(SIN(DEG*#REF!))*(1-(COS(DEG*(#REF!-#REF!)))))*RAD</definedName>
    <definedName name="аф" localSheetId="1">ACOS(COS(DEG*(#REF!-#REF!))-(SIN(DEG*#REF!))*(SIN(DEG*#REF!))*(1-(COS(DEG*(#REF!-#REF!)))))*RAD</definedName>
    <definedName name="аф">ACOS(COS(DEG*(#REF!-#REF!))-(SIN(DEG*#REF!))*(SIN(DEG*#REF!))*(1-(COS(DEG*(#REF!-#REF!)))))*RAD</definedName>
    <definedName name="аы">#REF!</definedName>
    <definedName name="_xlnm.Database">#REF!</definedName>
    <definedName name="в">#REF!</definedName>
    <definedName name="ваыва">'[8]Kill Sheet'!#REF!</definedName>
    <definedName name="Вварв" localSheetId="2">NULL</definedName>
    <definedName name="Вварв" localSheetId="1">NULL</definedName>
    <definedName name="Вварв">NULL</definedName>
    <definedName name="Впарв" localSheetId="2">NULL</definedName>
    <definedName name="Впарв" localSheetId="1">NULL</definedName>
    <definedName name="Впарв">NULL</definedName>
    <definedName name="Время_Время">[11]Рапорта!$E$2:(OFFSET([11]Рапорта!$E$2,COUNTA([11]Рапорта!$AG$1:$AG$65536)-2,0))</definedName>
    <definedName name="Время_Код_IPM">[11]Рапорта!$F$2:(OFFSET([11]Рапорта!$F$2,COUNTA([11]Рапорта!$AG$1:$AG$65536)-2,0))</definedName>
    <definedName name="Время_Скважина">[11]Рапорта!$B$2:(OFFSET([11]Рапорта!$B$2,COUNTA([11]Рапорта!$AG$1:$AG$65536)-2,0))</definedName>
    <definedName name="гор.проекция" hidden="1">#REF!</definedName>
    <definedName name="Доп07.08">#REF!,#REF!,#REF!,#REF!,#REF!,#REF!,#REF!,#REF!,#REF!,#REF!,#REF!,#REF!,#REF!,#REF!,#REF!,#REF!,#REF!,#REF!,#REF!,#REF!,#REF!,#REF!,#REF!,#REF!,#REF!</definedName>
    <definedName name="жопа" localSheetId="2">NULL</definedName>
    <definedName name="жопа" localSheetId="1">NULL</definedName>
    <definedName name="жопа">NULL</definedName>
    <definedName name="журнал">[6]Lookup!$B$1:$B$290</definedName>
    <definedName name="_xlnm.Print_Titles">#REF!</definedName>
    <definedName name="_xlnm.Extract">'[1]Cost est.'!#REF!</definedName>
    <definedName name="ИИИИИИИ" localSheetId="2">NULL</definedName>
    <definedName name="ИИИИИИИ" localSheetId="1">NULL</definedName>
    <definedName name="ИИИИИИИ">NULL</definedName>
    <definedName name="ИИИИИИТ" localSheetId="2">NULL</definedName>
    <definedName name="ИИИИИИТ" localSheetId="1">NULL</definedName>
    <definedName name="ИИИИИИТ">NULL</definedName>
    <definedName name="Инк2" localSheetId="1">#N/A</definedName>
    <definedName name="Инк2">#N/A</definedName>
    <definedName name="ип" localSheetId="1">#N/A</definedName>
    <definedName name="ип">#N/A</definedName>
    <definedName name="каекак" localSheetId="2">NULL</definedName>
    <definedName name="каекак" localSheetId="1">NULL</definedName>
    <definedName name="каекак">NULL</definedName>
    <definedName name="ккекак" localSheetId="2">NULL</definedName>
    <definedName name="ккекак" localSheetId="1">NULL</definedName>
    <definedName name="ккекак">NULL</definedName>
    <definedName name="КОДЫ">'[12]Коды операций'!$B$2:$B$56</definedName>
    <definedName name="Коды_Таблица">OFFSET([13]Коды_База!$A$1,1,0):(OFFSET(OFFSET([13]Коды_База!$A$1,1,0),COUNTA([13]Коды_База!$A$1:$A$65536)-2,4))</definedName>
    <definedName name="Колонны">#REF!</definedName>
    <definedName name="_xlnm.Criteria">'[1]Cost est.'!#REF!</definedName>
    <definedName name="лллл">#REF!</definedName>
    <definedName name="ллллл">#REF!</definedName>
    <definedName name="лр">#REF!,#REF!</definedName>
    <definedName name="МЕЕЕЕЕЕ" localSheetId="2">NULL</definedName>
    <definedName name="МЕЕЕЕЕЕ" localSheetId="1">NULL</definedName>
    <definedName name="МЕЕЕЕЕЕ">NULL</definedName>
    <definedName name="Месторождения">'[12]Коды операций'!$D$70:$D$117</definedName>
    <definedName name="ММЕЕЕЕЕ" localSheetId="2">NULL</definedName>
    <definedName name="ММЕЕЕЕЕ" localSheetId="1">NULL</definedName>
    <definedName name="ММЕЕЕЕЕ">NULL</definedName>
    <definedName name="ММКЕН" localSheetId="2">NULL</definedName>
    <definedName name="ММКЕН" localSheetId="1">NULL</definedName>
    <definedName name="ММКЕН">NULL</definedName>
    <definedName name="МУКЕН" localSheetId="2">NULL</definedName>
    <definedName name="МУКЕН" localSheetId="1">NULL</definedName>
    <definedName name="МУКЕН">NULL</definedName>
    <definedName name="Насосы">'[12]Коды операций'!$G$70:$G$77</definedName>
    <definedName name="НЕиыа" localSheetId="2">NULL</definedName>
    <definedName name="НЕиыа" localSheetId="1">NULL</definedName>
    <definedName name="НЕиыа">NULL</definedName>
    <definedName name="НЕТ" localSheetId="2">NULL</definedName>
    <definedName name="НЕТ" localSheetId="1">NULL</definedName>
    <definedName name="НЕТ">NULL</definedName>
    <definedName name="ННиыа" localSheetId="2">NULL</definedName>
    <definedName name="ННиыа" localSheetId="1">NULL</definedName>
    <definedName name="ННиыа">NULL</definedName>
    <definedName name="ННТ" localSheetId="2">NULL</definedName>
    <definedName name="ННТ" localSheetId="1">NULL</definedName>
    <definedName name="ННТ">NULL</definedName>
    <definedName name="_xlnm.Print_Area">#REF!</definedName>
    <definedName name="оор">#REF!</definedName>
    <definedName name="отх">[14]Инкл!$B$3</definedName>
    <definedName name="Подряд">'[12]Коды операций'!$B$70:$B$112</definedName>
    <definedName name="Поле">#REF!</definedName>
    <definedName name="ПП_нек" localSheetId="2">NULL</definedName>
    <definedName name="ПП_нек" localSheetId="1">NULL</definedName>
    <definedName name="ПП_нек">NULL</definedName>
    <definedName name="ПР_нек" localSheetId="2">NULL</definedName>
    <definedName name="ПР_нек" localSheetId="1">NULL</definedName>
    <definedName name="ПР_нек">NULL</definedName>
    <definedName name="Раствор">'[12]Коды операций'!$H$70:$H$75</definedName>
    <definedName name="рмр">#REF!</definedName>
    <definedName name="РРрак" localSheetId="2">NULL</definedName>
    <definedName name="РРрак" localSheetId="1">NULL</definedName>
    <definedName name="РРрак">NULL</definedName>
    <definedName name="РРрап" localSheetId="2">NULL</definedName>
    <definedName name="РРрап" localSheetId="1">NULL</definedName>
    <definedName name="РРрап">NULL</definedName>
    <definedName name="РРРРО" localSheetId="2">NULL</definedName>
    <definedName name="РРРРО" localSheetId="1">NULL</definedName>
    <definedName name="РРРРО">NULL</definedName>
    <definedName name="РРРРР" localSheetId="2">NULL</definedName>
    <definedName name="РРРРР" localSheetId="1">NULL</definedName>
    <definedName name="РРРРР">NULL</definedName>
    <definedName name="Скв">'[12]Коды операций'!$J$70:$J$118</definedName>
    <definedName name="Соколов_А.А.">#REF!</definedName>
    <definedName name="Станок">'[12]Коды операций'!$F$70:$F$80</definedName>
    <definedName name="СУБ" localSheetId="2">NULL</definedName>
    <definedName name="СУБ" localSheetId="1">NULL</definedName>
    <definedName name="СУБ">NULL</definedName>
    <definedName name="троооо" localSheetId="2">NULL</definedName>
    <definedName name="троооо" localSheetId="1">NULL</definedName>
    <definedName name="троооо">NULL</definedName>
    <definedName name="ттоооо" localSheetId="2">NULL</definedName>
    <definedName name="ттоооо" localSheetId="1">NULL</definedName>
    <definedName name="ттоооо">NULL</definedName>
    <definedName name="у45" localSheetId="2">ATAN2(Проектный_профиль_ЦГБ!N_S,Проектный_профиль_ЦГБ!E_W)*[0]!RAD</definedName>
    <definedName name="у45" localSheetId="1">ATAN2(Фактический_профиль!N_S,Фактический_профиль!E_W)*[0]!RAD</definedName>
    <definedName name="у45">ATAN2([0]!N_S,[0]!E_W)*[0]!RAD</definedName>
    <definedName name="уesghedtrg" hidden="1">#REF!</definedName>
    <definedName name="УСТ.">#REF!</definedName>
    <definedName name="УЦУЦ">#REF!</definedName>
    <definedName name="_xlnm.Data_Form">#REF!</definedName>
    <definedName name="ффв" localSheetId="2">NULL</definedName>
    <definedName name="ффв" localSheetId="1">NULL</definedName>
    <definedName name="ффв">NULL</definedName>
    <definedName name="фыв" localSheetId="2">NULL</definedName>
    <definedName name="фыв" localSheetId="1">NULL</definedName>
    <definedName name="фыв">NULL</definedName>
    <definedName name="Цемент">#REF!</definedName>
    <definedName name="цйц">#REF!</definedName>
    <definedName name="ыава">#REF!,#REF!,#REF!,#REF!,#REF!,#REF!,#REF!,#REF!,#REF!,#REF!,#REF!,#REF!,#REF!,#REF!,#REF!,#REF!,#REF!,#REF!,#REF!,#REF!,#REF!,#REF!,#REF!,#REF!,#REF!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310" i="4" l="1"/>
  <c r="E310" i="4" s="1"/>
  <c r="F310" i="4" s="1"/>
  <c r="G310" i="4" s="1"/>
  <c r="H310" i="4" s="1"/>
  <c r="I310" i="4" s="1"/>
  <c r="J310" i="4" s="1"/>
  <c r="K310" i="4" s="1"/>
  <c r="L310" i="4" s="1"/>
  <c r="M310" i="4" s="1"/>
  <c r="N310" i="4" s="1"/>
  <c r="O310" i="4" s="1"/>
  <c r="P310" i="4" s="1"/>
  <c r="Q310" i="4" s="1"/>
  <c r="R310" i="4" s="1"/>
  <c r="S310" i="4" s="1"/>
  <c r="C310" i="4"/>
  <c r="B310" i="4"/>
  <c r="B1048547" i="3" l="1"/>
  <c r="S1048547" i="3" s="1"/>
  <c r="B1048536" i="3"/>
  <c r="C1048536" i="3" s="1"/>
  <c r="D1048536" i="3" s="1"/>
  <c r="E1048536" i="3" s="1"/>
  <c r="F1048536" i="3" s="1"/>
  <c r="G1048536" i="3" s="1"/>
  <c r="H1048536" i="3" s="1"/>
  <c r="I1048536" i="3" s="1"/>
  <c r="J1048536" i="3" s="1"/>
  <c r="K1048536" i="3" s="1"/>
  <c r="L1048536" i="3" s="1"/>
  <c r="M1048536" i="3" s="1"/>
  <c r="N1048536" i="3" s="1"/>
  <c r="O1048536" i="3" s="1"/>
  <c r="B1048535" i="3"/>
  <c r="C1048535" i="3" s="1"/>
  <c r="B244" i="3"/>
  <c r="R244" i="3" s="1"/>
  <c r="B233" i="3"/>
  <c r="C233" i="3" s="1"/>
  <c r="D233" i="3" s="1"/>
  <c r="E233" i="3" s="1"/>
  <c r="F233" i="3" s="1"/>
  <c r="G233" i="3" s="1"/>
  <c r="H233" i="3" s="1"/>
  <c r="I233" i="3" s="1"/>
  <c r="J233" i="3" s="1"/>
  <c r="K233" i="3" s="1"/>
  <c r="L233" i="3" s="1"/>
  <c r="M233" i="3" s="1"/>
  <c r="N233" i="3" s="1"/>
  <c r="O233" i="3" s="1"/>
  <c r="P233" i="3" s="1"/>
  <c r="Q233" i="3" s="1"/>
  <c r="R233" i="3" s="1"/>
  <c r="B232" i="3"/>
  <c r="B23" i="3"/>
  <c r="Q10" i="3"/>
  <c r="R10" i="3" s="1"/>
  <c r="Q23" i="3" l="1"/>
  <c r="C23" i="3"/>
  <c r="G244" i="3"/>
  <c r="O244" i="3"/>
  <c r="C244" i="3"/>
  <c r="K244" i="3"/>
  <c r="A1048535" i="3"/>
  <c r="C232" i="3"/>
  <c r="G232" i="3" s="1"/>
  <c r="E244" i="3"/>
  <c r="I244" i="3"/>
  <c r="M244" i="3"/>
  <c r="Q244" i="3"/>
  <c r="G1048535" i="3"/>
  <c r="D23" i="3"/>
  <c r="F23" i="3"/>
  <c r="H23" i="3"/>
  <c r="J23" i="3"/>
  <c r="L23" i="3"/>
  <c r="N23" i="3"/>
  <c r="P23" i="3"/>
  <c r="R23" i="3"/>
  <c r="D1048547" i="3"/>
  <c r="F1048547" i="3"/>
  <c r="H1048547" i="3"/>
  <c r="J1048547" i="3"/>
  <c r="L1048547" i="3"/>
  <c r="N1048547" i="3"/>
  <c r="P1048547" i="3"/>
  <c r="R1048547" i="3"/>
  <c r="E23" i="3"/>
  <c r="G23" i="3"/>
  <c r="I23" i="3"/>
  <c r="K23" i="3"/>
  <c r="M23" i="3"/>
  <c r="O23" i="3"/>
  <c r="D244" i="3"/>
  <c r="F244" i="3"/>
  <c r="H244" i="3"/>
  <c r="J244" i="3"/>
  <c r="L244" i="3"/>
  <c r="N244" i="3"/>
  <c r="P244" i="3"/>
  <c r="C1048547" i="3"/>
  <c r="E1048547" i="3"/>
  <c r="G1048547" i="3"/>
  <c r="I1048547" i="3"/>
  <c r="K1048547" i="3"/>
  <c r="M1048547" i="3"/>
  <c r="O1048547" i="3"/>
  <c r="Q1048547" i="3"/>
</calcChain>
</file>

<file path=xl/sharedStrings.xml><?xml version="1.0" encoding="utf-8"?>
<sst xmlns="http://schemas.openxmlformats.org/spreadsheetml/2006/main" count="128" uniqueCount="56">
  <si>
    <t xml:space="preserve">Забой  =  </t>
  </si>
  <si>
    <t>Вертикаль=</t>
  </si>
  <si>
    <t>Точка замера: факт/проект</t>
  </si>
  <si>
    <t xml:space="preserve">Вертикаль  факт/проект       </t>
  </si>
  <si>
    <t xml:space="preserve">Зенитный уг. факт/проект    </t>
  </si>
  <si>
    <t xml:space="preserve">Азимут факт/проект   </t>
  </si>
  <si>
    <t xml:space="preserve">Интенсивн. факт/ проект </t>
  </si>
  <si>
    <t xml:space="preserve">Отход факт/проект                </t>
  </si>
  <si>
    <r>
      <t xml:space="preserve">абове </t>
    </r>
    <r>
      <rPr>
        <sz val="11"/>
        <color theme="4"/>
        <rFont val="Calibri"/>
        <family val="2"/>
        <charset val="204"/>
      </rPr>
      <t>→</t>
    </r>
  </si>
  <si>
    <t>выше</t>
  </si>
  <si>
    <t>ниже</t>
  </si>
  <si>
    <t>правее</t>
  </si>
  <si>
    <t>левее</t>
  </si>
  <si>
    <t xml:space="preserve">Расстояние Центр-центр </t>
  </si>
  <si>
    <t>Глубина по стволу, м</t>
  </si>
  <si>
    <t>Зенитный угол, град</t>
  </si>
  <si>
    <t>Азимут магнитный, град</t>
  </si>
  <si>
    <t>Азимут истинный, град</t>
  </si>
  <si>
    <t>Глубина по вертикали, м</t>
  </si>
  <si>
    <t>Абсолютная отметка, м</t>
  </si>
  <si>
    <t>Лок. смещение к северу, м</t>
  </si>
  <si>
    <t>Лок. смещение к востоку, м</t>
  </si>
  <si>
    <t>Отклонение от устья, м</t>
  </si>
  <si>
    <t>Азимут смещения,  град</t>
  </si>
  <si>
    <t>Пространст. интенсивность, град/10 м</t>
  </si>
  <si>
    <t>Угол установки отклон., град</t>
  </si>
  <si>
    <t>Интенсив. по зениту, град/10 м</t>
  </si>
  <si>
    <t>Комментарий</t>
  </si>
  <si>
    <t>Замер т/с</t>
  </si>
  <si>
    <t>Последний замер</t>
  </si>
  <si>
    <t>Забой</t>
  </si>
  <si>
    <t>Азимут дирекц., град</t>
  </si>
  <si>
    <t>Гл. смещение к северу, м</t>
  </si>
  <si>
    <t>Гл. смещение к востоку, м</t>
  </si>
  <si>
    <t>проект</t>
  </si>
  <si>
    <t>Проекция на долото</t>
  </si>
  <si>
    <t>Направление-426 мм.</t>
  </si>
  <si>
    <t>ОЛЕКМИНСКАЯ СВИТА Є1ol</t>
  </si>
  <si>
    <t>ТОЛБАЧАНСКАЯ СВИТА Є1tb/ВЕРХНЕТОЛБАЧАНСКАЯ ПОДСВИТА Є1tb2</t>
  </si>
  <si>
    <t>Кондуктор-244,5 мм.</t>
  </si>
  <si>
    <t>НИЖНЕТОЛБАЧАНСКАЯ ПОДСВИТА Є1tb1</t>
  </si>
  <si>
    <t>ЭЛЬГЯНСКАЯ СВИТА Є1el</t>
  </si>
  <si>
    <t>НЕЛБИНСКАЯ СВИТА Є1nl</t>
  </si>
  <si>
    <t>ЮРЕГИНСКАЯ СВИТА Є1jur</t>
  </si>
  <si>
    <t>ВЕРХНЕБИЛИРСКАЯ ПОДСВИТА Є1bl2/Осинский горизонт O-I</t>
  </si>
  <si>
    <t>БИЛИРСКАЯ СВИТА Є1bl</t>
  </si>
  <si>
    <t>НИЖНЕБИЛИРСКАЯ ПОДСВИТА Є1bl1/Осинский горизонт O-II</t>
  </si>
  <si>
    <t>ЮРЯХСКАЯ СВИТА Є1jurh/ВЕРХНЕЮРЯХСКАЯ ПОДСВИТА Є1jurh2/Юряхский горизонт Ю-I</t>
  </si>
  <si>
    <t>НИЖНЕЮРЯХСКАЯ ПОДСВИТА Є1jurh2/Юряхский горизонт Ю-II</t>
  </si>
  <si>
    <t>КУДУЛАХСКАЯ СВИТА Vkd</t>
  </si>
  <si>
    <t>УСПУНСКАЯ СВИТА Vus</t>
  </si>
  <si>
    <t>ГИС</t>
  </si>
  <si>
    <t>Т1</t>
  </si>
  <si>
    <t>Т2</t>
  </si>
  <si>
    <t>М</t>
  </si>
  <si>
    <t>Т3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</si>
</sst>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#.00"/>
  </numFmts>
  <fonts count="30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6"/>
      <color theme="1"/>
      <name val="Times New Roman"/>
      <family val="1"/>
      <charset val="204"/>
    </font>
    <font>
      <b/>
      <sz val="16"/>
      <color theme="1"/>
      <name val="Calibri"/>
      <family val="2"/>
      <charset val="204"/>
      <scheme val="minor"/>
    </font>
    <font>
      <b/>
      <sz val="16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4"/>
      <color theme="4"/>
      <name val="Arial"/>
      <family val="2"/>
      <charset val="204"/>
    </font>
    <font>
      <sz val="11"/>
      <color theme="4"/>
      <name val="Calibri"/>
      <family val="2"/>
      <charset val="204"/>
      <scheme val="minor"/>
    </font>
    <font>
      <b/>
      <sz val="11"/>
      <color theme="4"/>
      <name val="Calibri"/>
      <family val="2"/>
      <charset val="204"/>
      <scheme val="minor"/>
    </font>
    <font>
      <b/>
      <sz val="14"/>
      <color theme="4"/>
      <name val="Times New Roman"/>
      <family val="1"/>
      <charset val="204"/>
    </font>
    <font>
      <sz val="14"/>
      <color theme="4"/>
      <name val="Calibri"/>
      <family val="2"/>
      <charset val="204"/>
      <scheme val="minor"/>
    </font>
    <font>
      <sz val="11"/>
      <color theme="4"/>
      <name val="Calibri"/>
      <family val="2"/>
      <charset val="204"/>
    </font>
    <font>
      <b/>
      <sz val="14"/>
      <color theme="4"/>
      <name val="Calibri"/>
      <family val="2"/>
      <charset val="204"/>
      <scheme val="minor"/>
    </font>
    <font>
      <sz val="14"/>
      <color theme="4"/>
      <name val="Times New Roman"/>
      <family val="1"/>
      <charset val="204"/>
    </font>
    <font>
      <sz val="10"/>
      <color theme="4"/>
      <name val="Calibri"/>
      <family val="2"/>
      <charset val="204"/>
      <scheme val="minor"/>
    </font>
    <font>
      <b/>
      <sz val="10"/>
      <color indexed="8"/>
      <name val="Arial"/>
      <family val="2"/>
    </font>
    <font>
      <sz val="10"/>
      <color theme="1"/>
      <name val="Calibri"/>
      <family val="2"/>
      <charset val="204"/>
      <scheme val="minor"/>
    </font>
    <font>
      <sz val="10"/>
      <color indexed="8"/>
      <name val="Arial"/>
      <family val="2"/>
    </font>
    <font>
      <sz val="10"/>
      <color theme="1"/>
      <name val="Arial"/>
      <family val="2"/>
    </font>
    <font>
      <sz val="10"/>
      <name val="Tahoma"/>
      <family val="2"/>
      <charset val="204"/>
    </font>
    <font>
      <sz val="11"/>
      <name val="Tahoma"/>
      <family val="2"/>
      <charset val="204"/>
    </font>
    <font>
      <b/>
      <sz val="11"/>
      <name val="Tahoma"/>
      <family val="2"/>
      <charset val="204"/>
    </font>
    <font>
      <sz val="10"/>
      <color indexed="8"/>
      <name val="Arial"/>
      <family val="2"/>
      <charset val="204"/>
    </font>
    <font>
      <b/>
      <sz val="10"/>
      <color indexed="8"/>
      <name val="Arial"/>
      <family val="2"/>
      <charset val="204"/>
    </font>
    <font>
      <sz val="10"/>
      <name val="Arial Cyr"/>
      <charset val="204"/>
    </font>
    <font>
      <sz val="10"/>
      <color theme="1"/>
      <name val="Arial"/>
      <family val="2"/>
      <charset val="204"/>
    </font>
    <font>
      <sz val="7"/>
      <name val="Tahoma"/>
      <family val="2"/>
      <charset val="204"/>
    </font>
    <font>
      <b/>
      <sz val="7"/>
      <name val="Tahoma"/>
      <family val="2"/>
      <charset val="204"/>
    </font>
    <font>
      <sz val="11"/>
      <color rgb="FF000000"/>
      <name val="Calibri"/>
      <family val="2"/>
      <charset val="204"/>
    </font>
  </fonts>
  <fills count="9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0" fontId="6" fillId="0" borderId="0"/>
    <xf numFmtId="0" fontId="25" fillId="0" borderId="0"/>
    <xf numFmtId="0" fontId="1" fillId="0" borderId="0"/>
    <xf numFmtId="0" fontId="25" fillId="0" borderId="0"/>
  </cellStyleXfs>
  <cellXfs count="96">
    <xf numFmtId="0" fontId="0" fillId="0" borderId="0" xfId="0"/>
    <xf numFmtId="0" fontId="2" fillId="0" borderId="0" xfId="0" applyFont="1"/>
    <xf numFmtId="0" fontId="4" fillId="0" borderId="0" xfId="0" applyFont="1"/>
    <xf numFmtId="0" fontId="5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2" fontId="11" fillId="3" borderId="1" xfId="0" applyNumberFormat="1" applyFont="1" applyFill="1" applyBorder="1"/>
    <xf numFmtId="2" fontId="11" fillId="2" borderId="1" xfId="0" applyNumberFormat="1" applyFont="1" applyFill="1" applyBorder="1"/>
    <xf numFmtId="0" fontId="10" fillId="4" borderId="0" xfId="0" applyFont="1" applyFill="1"/>
    <xf numFmtId="0" fontId="13" fillId="4" borderId="1" xfId="0" applyFont="1" applyFill="1" applyBorder="1"/>
    <xf numFmtId="0" fontId="11" fillId="4" borderId="0" xfId="0" applyFont="1" applyFill="1"/>
    <xf numFmtId="2" fontId="13" fillId="4" borderId="1" xfId="0" applyNumberFormat="1" applyFont="1" applyFill="1" applyBorder="1"/>
    <xf numFmtId="0" fontId="14" fillId="4" borderId="0" xfId="0" applyFont="1" applyFill="1"/>
    <xf numFmtId="0" fontId="15" fillId="0" borderId="0" xfId="0" applyFont="1" applyAlignment="1">
      <alignment vertical="center"/>
    </xf>
    <xf numFmtId="2" fontId="13" fillId="5" borderId="1" xfId="0" applyNumberFormat="1" applyFont="1" applyFill="1" applyBorder="1"/>
    <xf numFmtId="0" fontId="16" fillId="0" borderId="3" xfId="1" applyFont="1" applyBorder="1" applyAlignment="1">
      <alignment horizontal="left" vertical="center" wrapText="1"/>
    </xf>
    <xf numFmtId="0" fontId="17" fillId="0" borderId="0" xfId="0" applyFont="1"/>
    <xf numFmtId="0" fontId="18" fillId="0" borderId="0" xfId="1" applyFont="1" applyAlignment="1" applyProtection="1">
      <alignment horizontal="center" vertical="center" wrapText="1"/>
      <protection locked="0"/>
    </xf>
    <xf numFmtId="0" fontId="19" fillId="0" borderId="1" xfId="0" applyFont="1" applyBorder="1"/>
    <xf numFmtId="2" fontId="20" fillId="6" borderId="4" xfId="0" applyNumberFormat="1" applyFont="1" applyFill="1" applyBorder="1" applyAlignment="1">
      <alignment horizontal="center" vertical="center" wrapText="1"/>
    </xf>
    <xf numFmtId="2" fontId="20" fillId="6" borderId="5" xfId="0" applyNumberFormat="1" applyFont="1" applyFill="1" applyBorder="1" applyAlignment="1">
      <alignment horizontal="center" vertical="center" wrapText="1"/>
    </xf>
    <xf numFmtId="2" fontId="20" fillId="0" borderId="5" xfId="0" applyNumberFormat="1" applyFont="1" applyBorder="1" applyAlignment="1">
      <alignment horizontal="center" vertical="center" wrapText="1"/>
    </xf>
    <xf numFmtId="164" fontId="20" fillId="6" borderId="5" xfId="0" applyNumberFormat="1" applyFont="1" applyFill="1" applyBorder="1" applyAlignment="1">
      <alignment horizontal="center" vertical="center" wrapText="1"/>
    </xf>
    <xf numFmtId="2" fontId="20" fillId="6" borderId="6" xfId="0" applyNumberFormat="1" applyFont="1" applyFill="1" applyBorder="1" applyAlignment="1">
      <alignment horizontal="center" vertical="center" wrapText="1"/>
    </xf>
    <xf numFmtId="49" fontId="20" fillId="6" borderId="7" xfId="0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18" fillId="0" borderId="0" xfId="1" applyFont="1" applyAlignment="1" applyProtection="1">
      <alignment horizontal="right" vertical="center" wrapText="1"/>
      <protection locked="0"/>
    </xf>
    <xf numFmtId="164" fontId="18" fillId="0" borderId="1" xfId="0" applyNumberFormat="1" applyFont="1" applyBorder="1" applyAlignment="1">
      <alignment horizontal="left" vertical="center" wrapText="1"/>
    </xf>
    <xf numFmtId="2" fontId="21" fillId="6" borderId="4" xfId="0" applyNumberFormat="1" applyFont="1" applyFill="1" applyBorder="1" applyAlignment="1">
      <alignment horizontal="center" vertical="center" wrapText="1"/>
    </xf>
    <xf numFmtId="2" fontId="21" fillId="6" borderId="5" xfId="0" applyNumberFormat="1" applyFont="1" applyFill="1" applyBorder="1" applyAlignment="1">
      <alignment horizontal="center" vertical="center" wrapText="1"/>
    </xf>
    <xf numFmtId="2" fontId="21" fillId="0" borderId="5" xfId="0" applyNumberFormat="1" applyFont="1" applyBorder="1" applyAlignment="1">
      <alignment horizontal="center" vertical="center" wrapText="1"/>
    </xf>
    <xf numFmtId="164" fontId="21" fillId="6" borderId="5" xfId="0" applyNumberFormat="1" applyFont="1" applyFill="1" applyBorder="1" applyAlignment="1">
      <alignment horizontal="center" vertical="center" wrapText="1"/>
    </xf>
    <xf numFmtId="2" fontId="21" fillId="6" borderId="6" xfId="0" applyNumberFormat="1" applyFont="1" applyFill="1" applyBorder="1" applyAlignment="1">
      <alignment horizontal="center" vertical="center" wrapText="1"/>
    </xf>
    <xf numFmtId="49" fontId="21" fillId="6" borderId="7" xfId="0" applyNumberFormat="1" applyFont="1" applyFill="1" applyBorder="1" applyAlignment="1">
      <alignment horizontal="center" vertical="center" wrapText="1"/>
    </xf>
    <xf numFmtId="0" fontId="20" fillId="0" borderId="8" xfId="0" applyFont="1" applyBorder="1" applyAlignment="1">
      <alignment horizontal="left" vertical="top" wrapText="1"/>
    </xf>
    <xf numFmtId="0" fontId="20" fillId="0" borderId="0" xfId="0" applyFont="1" applyAlignment="1">
      <alignment horizontal="center"/>
    </xf>
    <xf numFmtId="0" fontId="21" fillId="0" borderId="8" xfId="0" applyFont="1" applyBorder="1" applyAlignment="1">
      <alignment horizontal="right" vertical="center" wrapText="1"/>
    </xf>
    <xf numFmtId="0" fontId="21" fillId="0" borderId="8" xfId="0" applyFont="1" applyBorder="1" applyAlignment="1">
      <alignment horizontal="left" vertical="top" wrapText="1"/>
    </xf>
    <xf numFmtId="0" fontId="20" fillId="0" borderId="1" xfId="0" applyFont="1" applyBorder="1" applyAlignment="1">
      <alignment horizontal="left"/>
    </xf>
    <xf numFmtId="0" fontId="21" fillId="0" borderId="1" xfId="0" applyFont="1" applyBorder="1" applyAlignment="1">
      <alignment horizontal="right" vertical="center" wrapText="1"/>
    </xf>
    <xf numFmtId="0" fontId="21" fillId="0" borderId="1" xfId="0" applyFont="1" applyBorder="1" applyAlignment="1">
      <alignment horizontal="left"/>
    </xf>
    <xf numFmtId="0" fontId="20" fillId="0" borderId="1" xfId="0" applyFont="1" applyBorder="1"/>
    <xf numFmtId="0" fontId="22" fillId="0" borderId="1" xfId="0" applyFont="1" applyBorder="1" applyAlignment="1">
      <alignment horizontal="center"/>
    </xf>
    <xf numFmtId="2" fontId="23" fillId="0" borderId="0" xfId="1" applyNumberFormat="1" applyFont="1" applyProtection="1">
      <protection locked="0"/>
    </xf>
    <xf numFmtId="2" fontId="20" fillId="0" borderId="1" xfId="0" applyNumberFormat="1" applyFont="1" applyBorder="1" applyAlignment="1">
      <alignment horizontal="right" vertical="center" wrapText="1"/>
    </xf>
    <xf numFmtId="2" fontId="20" fillId="0" borderId="1" xfId="0" applyNumberFormat="1" applyFont="1" applyBorder="1" applyAlignment="1">
      <alignment horizontal="center" vertical="center" wrapText="1"/>
    </xf>
    <xf numFmtId="0" fontId="17" fillId="0" borderId="1" xfId="0" applyFont="1" applyBorder="1"/>
    <xf numFmtId="0" fontId="23" fillId="0" borderId="0" xfId="1" applyFont="1" applyProtection="1">
      <protection locked="0"/>
    </xf>
    <xf numFmtId="0" fontId="24" fillId="0" borderId="0" xfId="1" applyFont="1" applyAlignment="1" applyProtection="1">
      <alignment horizontal="right" vertical="center" wrapText="1"/>
      <protection locked="0"/>
    </xf>
    <xf numFmtId="2" fontId="20" fillId="0" borderId="1" xfId="2" applyNumberFormat="1" applyFont="1" applyBorder="1" applyAlignment="1">
      <alignment horizontal="center" vertical="center" wrapText="1"/>
    </xf>
    <xf numFmtId="2" fontId="17" fillId="0" borderId="1" xfId="0" applyNumberFormat="1" applyFont="1" applyBorder="1"/>
    <xf numFmtId="0" fontId="18" fillId="0" borderId="0" xfId="1" applyFont="1" applyProtection="1">
      <protection locked="0"/>
    </xf>
    <xf numFmtId="2" fontId="20" fillId="0" borderId="4" xfId="0" applyNumberFormat="1" applyFont="1" applyBorder="1" applyAlignment="1">
      <alignment horizontal="center" vertical="center" wrapText="1"/>
    </xf>
    <xf numFmtId="2" fontId="20" fillId="0" borderId="6" xfId="0" applyNumberFormat="1" applyFont="1" applyBorder="1" applyAlignment="1">
      <alignment horizontal="center" vertical="center" wrapText="1"/>
    </xf>
    <xf numFmtId="2" fontId="20" fillId="0" borderId="7" xfId="0" applyNumberFormat="1" applyFont="1" applyBorder="1" applyAlignment="1">
      <alignment horizontal="center" vertical="center" wrapText="1"/>
    </xf>
    <xf numFmtId="2" fontId="20" fillId="7" borderId="1" xfId="0" applyNumberFormat="1" applyFont="1" applyFill="1" applyBorder="1" applyAlignment="1">
      <alignment horizontal="right" vertical="center" wrapText="1"/>
    </xf>
    <xf numFmtId="2" fontId="20" fillId="0" borderId="1" xfId="0" applyNumberFormat="1" applyFont="1" applyBorder="1" applyAlignment="1">
      <alignment horizontal="left"/>
    </xf>
    <xf numFmtId="2" fontId="23" fillId="0" borderId="9" xfId="1" applyNumberFormat="1" applyFont="1" applyBorder="1" applyAlignment="1">
      <alignment horizontal="right" vertical="center"/>
    </xf>
    <xf numFmtId="2" fontId="23" fillId="0" borderId="1" xfId="1" applyNumberFormat="1" applyFont="1" applyBorder="1" applyAlignment="1">
      <alignment horizontal="right" vertical="center"/>
    </xf>
    <xf numFmtId="2" fontId="23" fillId="0" borderId="10" xfId="1" applyNumberFormat="1" applyFont="1" applyBorder="1" applyAlignment="1">
      <alignment horizontal="right" vertical="center"/>
    </xf>
    <xf numFmtId="0" fontId="23" fillId="0" borderId="0" xfId="1" applyFont="1" applyAlignment="1" applyProtection="1">
      <alignment horizontal="right" vertical="center" wrapText="1"/>
      <protection locked="0"/>
    </xf>
    <xf numFmtId="0" fontId="18" fillId="0" borderId="0" xfId="0" applyFont="1" applyAlignment="1" applyProtection="1">
      <alignment horizontal="right" vertical="center" wrapText="1"/>
      <protection locked="0"/>
    </xf>
    <xf numFmtId="0" fontId="24" fillId="0" borderId="0" xfId="0" applyFont="1" applyAlignment="1" applyProtection="1">
      <alignment horizontal="right" vertical="center" wrapText="1"/>
      <protection locked="0"/>
    </xf>
    <xf numFmtId="0" fontId="23" fillId="0" borderId="0" xfId="1" applyFont="1" applyAlignment="1" applyProtection="1">
      <alignment horizontal="center"/>
      <protection locked="0"/>
    </xf>
    <xf numFmtId="0" fontId="24" fillId="0" borderId="0" xfId="1" applyFont="1" applyAlignment="1" applyProtection="1">
      <alignment horizontal="center"/>
      <protection locked="0"/>
    </xf>
    <xf numFmtId="0" fontId="24" fillId="0" borderId="0" xfId="1" applyFont="1" applyProtection="1">
      <protection locked="0"/>
    </xf>
    <xf numFmtId="2" fontId="26" fillId="0" borderId="11" xfId="3" applyNumberFormat="1" applyFont="1" applyBorder="1" applyAlignment="1" applyProtection="1">
      <alignment horizontal="center" vertical="center"/>
      <protection hidden="1"/>
    </xf>
    <xf numFmtId="2" fontId="26" fillId="0" borderId="12" xfId="3" applyNumberFormat="1" applyFont="1" applyBorder="1" applyAlignment="1" applyProtection="1">
      <alignment horizontal="center" vertical="center"/>
      <protection hidden="1"/>
    </xf>
    <xf numFmtId="2" fontId="26" fillId="0" borderId="13" xfId="3" applyNumberFormat="1" applyFont="1" applyBorder="1" applyAlignment="1" applyProtection="1">
      <alignment horizontal="center" vertical="center"/>
      <protection hidden="1"/>
    </xf>
    <xf numFmtId="2" fontId="26" fillId="0" borderId="14" xfId="3" applyNumberFormat="1" applyFont="1" applyBorder="1" applyAlignment="1" applyProtection="1">
      <alignment horizontal="center" vertical="center"/>
      <protection hidden="1"/>
    </xf>
    <xf numFmtId="2" fontId="26" fillId="0" borderId="15" xfId="3" applyNumberFormat="1" applyFont="1" applyBorder="1" applyAlignment="1" applyProtection="1">
      <alignment horizontal="center" vertical="center"/>
      <protection hidden="1"/>
    </xf>
    <xf numFmtId="2" fontId="23" fillId="0" borderId="0" xfId="1" applyNumberFormat="1" applyFont="1" applyAlignment="1">
      <alignment horizontal="right" vertical="center"/>
    </xf>
    <xf numFmtId="0" fontId="20" fillId="0" borderId="1" xfId="4" applyFont="1" applyBorder="1" applyAlignment="1">
      <alignment horizontal="right" vertical="center" wrapText="1"/>
    </xf>
    <xf numFmtId="2" fontId="20" fillId="0" borderId="16" xfId="0" applyNumberFormat="1" applyFont="1" applyBorder="1" applyAlignment="1">
      <alignment horizontal="right" vertical="center" wrapText="1"/>
    </xf>
    <xf numFmtId="2" fontId="27" fillId="0" borderId="8" xfId="0" applyNumberFormat="1" applyFont="1" applyBorder="1" applyAlignment="1">
      <alignment horizontal="right" vertical="center" wrapText="1"/>
    </xf>
    <xf numFmtId="0" fontId="27" fillId="0" borderId="8" xfId="0" applyFont="1" applyBorder="1" applyAlignment="1">
      <alignment horizontal="left" vertical="top" wrapText="1"/>
    </xf>
    <xf numFmtId="2" fontId="27" fillId="0" borderId="1" xfId="0" applyNumberFormat="1" applyFont="1" applyBorder="1" applyAlignment="1">
      <alignment horizontal="right" vertical="center" wrapText="1"/>
    </xf>
    <xf numFmtId="0" fontId="27" fillId="0" borderId="1" xfId="0" applyFont="1" applyBorder="1" applyAlignment="1">
      <alignment horizontal="left"/>
    </xf>
    <xf numFmtId="2" fontId="27" fillId="4" borderId="1" xfId="0" applyNumberFormat="1" applyFont="1" applyFill="1" applyBorder="1" applyAlignment="1">
      <alignment horizontal="right" vertical="center" wrapText="1"/>
    </xf>
    <xf numFmtId="0" fontId="27" fillId="4" borderId="1" xfId="0" applyFont="1" applyFill="1" applyBorder="1" applyAlignment="1">
      <alignment horizontal="left"/>
    </xf>
    <xf numFmtId="2" fontId="27" fillId="8" borderId="1" xfId="0" applyNumberFormat="1" applyFont="1" applyFill="1" applyBorder="1" applyAlignment="1">
      <alignment horizontal="right" vertical="center" wrapText="1"/>
    </xf>
    <xf numFmtId="0" fontId="27" fillId="8" borderId="1" xfId="0" applyFont="1" applyFill="1" applyBorder="1" applyAlignment="1">
      <alignment horizontal="left"/>
    </xf>
    <xf numFmtId="2" fontId="27" fillId="3" borderId="1" xfId="0" applyNumberFormat="1" applyFont="1" applyFill="1" applyBorder="1" applyAlignment="1">
      <alignment horizontal="right" vertical="center" wrapText="1"/>
    </xf>
    <xf numFmtId="0" fontId="27" fillId="3" borderId="1" xfId="0" applyFont="1" applyFill="1" applyBorder="1" applyAlignment="1">
      <alignment horizontal="left"/>
    </xf>
    <xf numFmtId="2" fontId="28" fillId="7" borderId="1" xfId="0" applyNumberFormat="1" applyFont="1" applyFill="1" applyBorder="1" applyAlignment="1">
      <alignment horizontal="right" vertical="center" wrapText="1"/>
    </xf>
    <xf numFmtId="0" fontId="28" fillId="7" borderId="1" xfId="0" applyFont="1" applyFill="1" applyBorder="1" applyAlignment="1">
      <alignment horizontal="left"/>
    </xf>
    <xf numFmtId="2" fontId="27" fillId="7" borderId="1" xfId="0" applyNumberFormat="1" applyFont="1" applyFill="1" applyBorder="1" applyAlignment="1">
      <alignment horizontal="right" vertical="center" wrapText="1"/>
    </xf>
    <xf numFmtId="0" fontId="27" fillId="7" borderId="1" xfId="0" applyFont="1" applyFill="1" applyBorder="1" applyAlignment="1">
      <alignment horizontal="left"/>
    </xf>
    <xf numFmtId="2" fontId="20" fillId="7" borderId="1" xfId="0" applyNumberFormat="1" applyFont="1" applyFill="1" applyBorder="1" applyAlignment="1">
      <alignment horizontal="left"/>
    </xf>
    <xf numFmtId="1" fontId="3" fillId="0" borderId="1" xfId="0" applyNumberFormat="1" applyFont="1" applyFill="1" applyBorder="1" applyAlignment="1">
      <alignment horizontal="center"/>
    </xf>
    <xf numFmtId="0" fontId="21" fillId="8" borderId="8" xfId="0" applyFont="1" applyFill="1" applyBorder="1" applyAlignment="1">
      <alignment horizontal="right" vertical="center" wrapText="1"/>
    </xf>
    <xf numFmtId="165" fontId="7" fillId="2" borderId="1" xfId="1" applyNumberFormat="1" applyFont="1" applyFill="1" applyBorder="1" applyAlignment="1">
      <alignment horizontal="center" vertical="center"/>
    </xf>
    <xf numFmtId="0" fontId="10" fillId="4" borderId="0" xfId="0" applyFont="1" applyFill="1" applyAlignment="1">
      <alignment horizontal="center"/>
    </xf>
    <xf numFmtId="0" fontId="10" fillId="4" borderId="2" xfId="0" applyFont="1" applyFill="1" applyBorder="1" applyAlignment="1">
      <alignment horizontal="center"/>
    </xf>
  </cellXfs>
  <cellStyles count="5">
    <cellStyle name="Обычный" xfId="0" builtinId="0"/>
    <cellStyle name="Обычный 10" xfId="1" xr:uid="{E9D2FED4-CD87-4CE1-85E9-B054FAA2A2D4}"/>
    <cellStyle name="Обычный 172" xfId="4" xr:uid="{D0BD9AD2-672F-4C1F-9211-8F0B034917E1}"/>
    <cellStyle name="Обычный 32" xfId="2" xr:uid="{209B3E99-B623-4596-A314-F28EFCAB6C63}"/>
    <cellStyle name="Обычный 8" xfId="3" xr:uid="{FEDC063F-8D28-48CF-B11C-39756049A38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externalLink" Target="externalLinks/externalLink10.xml"/><Relationship Id="rId18" Type="http://schemas.openxmlformats.org/officeDocument/2006/relationships/externalLink" Target="externalLinks/externalLink15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externalLink" Target="externalLinks/externalLink4.xml"/><Relationship Id="rId12" Type="http://schemas.openxmlformats.org/officeDocument/2006/relationships/externalLink" Target="externalLinks/externalLink9.xml"/><Relationship Id="rId17" Type="http://schemas.openxmlformats.org/officeDocument/2006/relationships/externalLink" Target="externalLinks/externalLink14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3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2.xml"/><Relationship Id="rId23" Type="http://schemas.microsoft.com/office/2006/relationships/vbaProject" Target="vbaProject.bin"/><Relationship Id="rId10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1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3</xdr:row>
          <xdr:rowOff>85725</xdr:rowOff>
        </xdr:from>
        <xdr:to>
          <xdr:col>12</xdr:col>
          <xdr:colOff>447675</xdr:colOff>
          <xdr:row>4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Рассчет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GULF\AMIGO\16111190\16-11WB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User_1/LOCALS~1/Temp/Rar$DIa0.703/&#1057;&#1074;&#1086;&#1076;&#1082;&#1072;%20&#1080;&#1085;&#1082;&#1083;&#1080;&#1085;&#1086;&#1084;&#1077;&#1090;&#1088;&#1080;&#1103;_&#1054;&#1089;&#1090;&#1072;&#1085;&#1080;&#1085;&#1089;&#1082;&#1086;&#1077;_3_1407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DECCA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WINDOWS/TEMP/Rar$DIa0.334/&#1057;&#1074;&#1086;&#1076;&#1082;&#1072;%20&#1080;&#1085;&#1082;&#1083;&#1080;&#1085;&#1086;&#1084;&#1077;&#1090;&#1088;&#1080;&#1103;_&#1054;&#1089;&#1090;&#1072;&#1085;&#1080;&#1085;&#1089;&#1082;&#1086;&#1077;_3_1408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2;&#1087;65&#1089;&#1082;&#1074;3061/temp/notesE1EF34/&#1041;&#1086;&#1074;&#1072;&#1085;&#1077;&#1085;&#1082;&#1086;&#1074;&#1089;&#1082;&#1086;&#1077;%20&#1043;&#1050;&#1052;/4510/&#1041;&#1086;&#1074;&#1072;&#1085;&#1077;&#1085;&#1082;&#1086;&#1074;&#1089;&#1082;&#1086;&#1077;%20&#1043;&#1050;&#1052;/36_06/3606_1%20&#1056;&#1040;&#1055;&#1054;&#1056;&#1058;%20+&#1057;&#1052;&#1050;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2;&#1087;65&#1089;&#1082;&#1074;3061/temp/notesE1EF34/&#1041;&#1086;&#1074;&#1072;&#1085;&#1077;&#1085;&#1082;&#1086;&#1074;&#1089;&#1082;&#1086;&#1077;%20&#1043;&#1050;&#1052;/4510/&#1088;&#1072;&#1087;&#1086;&#1088;&#1090;%20&#1062;&#1043;&#1041;_1012&#1061;&#1086;&#1088;&#1086;&#1096;&#1080;&#1081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2044%20&#1044;&#1045;&#1051;&#1054;%20&#1057;&#1050;&#1042;&#1040;&#1046;&#1048;&#1053;&#1067;/14.%20&#1057;&#1091;&#1090;&#1086;&#1095;&#1085;&#1099;&#1077;%20&#1088;&#1072;&#1087;&#1086;&#1088;&#1090;&#1072;/Users/koshel.sg/Desktop/&#1053;&#1053;&#1041;_&#1063;&#1072;&#1103;&#1085;&#1076;&#1080;&#1085;&#1089;&#1082;&#1086;&#1077;_39_2188_&#1047;&#1072;&#1084;&#1077;&#1088;_0-1037/&#1063;&#1072;&#1103;&#1085;&#1076;&#1080;&#1085;&#1089;&#1082;&#1086;&#1077;_39_2188_&#1047;&#1072;&#1084;&#1077;&#1088;_0-1037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uganskpdc-ofs\general\WSS%20Training%20Programme\Drilling%20Report\windows\TEMP\Local%20Copy%20Drilling%20Report\Older%20Versions%20of%20Drilling%20Report\Drilling%20EOW%20Report%2001%20Mar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2;&#1087;65&#1089;&#1082;&#1074;3061/Users/&#1048;&#1075;&#1086;&#1088;&#1100;/Documents/&#1088;&#1072;&#1087;&#1086;&#1088;&#1090;%20&#1062;&#1043;&#1041;_&#1064;&#1072;&#1073;&#1083;&#1086;&#1085;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2;&#1087;65&#1089;&#1082;&#1074;3061/temp/notesE1EF34/&#1056;&#1072;&#1087;&#1086;&#1088;&#1090;_&#1062;&#1043;&#1041;_10037%20&#1054;&#1043;&#1050;&#1052;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1_Rabota_Ugansk/NPT/from%20Andrienko/&#1057;&#1074;&#1086;&#1076;_&#1047;&#1072;&#1082;&#1057;&#1082;&#1074;_2009_&#1070;&#1053;&#1043;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Users\1\AppData\Local\Microsoft\Windows\Temporary%20Internet%20Files\Content.Outlook\KG063CYV\&#1056;&#1053;-&#1041;\&#1086;&#1090;%20&#1056;&#1086;&#1073;&#1077;&#1088;&#1090;&#1072;\&#1057;&#1056;&#1041;%20&#8470;4%2014.03.2010%208235%20430%20&#1042;&#1099;&#1085;&#1075;&#1072;&#1087;&#1091;&#1088;&#1086;&#1074;&#1089;&#1082;&#1086;&#107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wz3e05/&#1041;&#1072;&#1079;&#1072;%201/&#1054;&#1090;&#1095;&#1077;&#1090;%20&#1087;&#1086;%20&#1089;&#1082;&#1074;&#1072;&#1078;&#1080;&#1085;&#1077;_&#1050;&#1091;&#1089;&#1090;_69_&#1059;&#1075;&#1091;&#1090;_&#1089;&#1082;&#1074;_3014&#1075;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Ipm\date\IPM\2%20%20&#1061;&#1074;&#1086;&#1081;&#1085;&#1086;&#1077;\01%20%20%20%2024%20%20%20%20168\&#1055;&#1083;&#1072;&#1085;&#1099;%2001%20%20%2024%20%20%20168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&#1044;&#1086;&#1082;&#1083;&#1072;&#1076;%2022,01,1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le Volumes"/>
      <sheetName val="Fluid sum"/>
      <sheetName val="Rentals"/>
      <sheetName val="Field Work"/>
      <sheetName val="Pipe tally"/>
      <sheetName val="tankgaug"/>
      <sheetName val="Well proposed"/>
      <sheetName val="Well existing"/>
      <sheetName val="Cost est."/>
      <sheetName val="Cost est_"/>
      <sheetName val="ДОМНГ"/>
      <sheetName val="Hole_Volumes"/>
      <sheetName val="Fluid_sum"/>
      <sheetName val="Field_Work"/>
      <sheetName val="Pipe_tally"/>
      <sheetName val="Well_proposed"/>
      <sheetName val="Well_existing"/>
      <sheetName val="Cost_est_"/>
      <sheetName val="Cost_est_1"/>
      <sheetName val="Kill Sheet"/>
      <sheetName val="welldata frac analysi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/>
      <sheetData sheetId="12"/>
      <sheetData sheetId="13"/>
      <sheetData sheetId="14"/>
      <sheetData sheetId="15"/>
      <sheetData sheetId="16" refreshError="1"/>
      <sheetData sheetId="17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Проект"/>
      <sheetName val="КИП"/>
      <sheetName val="План 10м"/>
      <sheetName val="СИБ-2"/>
      <sheetName val="График План"/>
      <sheetName val="ОБЩИЙ ГРАФИК"/>
      <sheetName val="Пространств инт гр10м"/>
      <sheetName val="Анализ ТС"/>
      <sheetName val="Р1"/>
      <sheetName val="Расчет"/>
      <sheetName val="Гр.Анализа"/>
    </sheetNames>
    <sheetDataSet>
      <sheetData sheetId="0">
        <row r="4">
          <cell r="F4">
            <v>131</v>
          </cell>
        </row>
      </sheetData>
      <sheetData sheetId="1">
        <row r="4">
          <cell r="AA4">
            <v>0</v>
          </cell>
          <cell r="AB4">
            <v>0</v>
          </cell>
          <cell r="AC4">
            <v>0</v>
          </cell>
        </row>
        <row r="5">
          <cell r="E5">
            <v>2701</v>
          </cell>
          <cell r="AA5">
            <v>5</v>
          </cell>
          <cell r="AB5">
            <v>0</v>
          </cell>
          <cell r="AC5">
            <v>0</v>
          </cell>
        </row>
        <row r="6">
          <cell r="F6">
            <v>296.12</v>
          </cell>
          <cell r="AA6">
            <v>3</v>
          </cell>
          <cell r="AB6">
            <v>0</v>
          </cell>
          <cell r="AC6">
            <v>0</v>
          </cell>
        </row>
        <row r="7">
          <cell r="AA7">
            <v>17.8</v>
          </cell>
          <cell r="AB7">
            <v>1.7829999999999999</v>
          </cell>
          <cell r="AC7">
            <v>0</v>
          </cell>
        </row>
        <row r="8">
          <cell r="AA8">
            <v>78.2</v>
          </cell>
          <cell r="AB8">
            <v>0</v>
          </cell>
          <cell r="AC8">
            <v>0</v>
          </cell>
        </row>
        <row r="9">
          <cell r="AA9">
            <v>110.4</v>
          </cell>
          <cell r="AB9">
            <v>0</v>
          </cell>
          <cell r="AC9">
            <v>0</v>
          </cell>
        </row>
        <row r="10">
          <cell r="AA10">
            <v>25.4</v>
          </cell>
          <cell r="AB10">
            <v>-1.7829999999999999</v>
          </cell>
          <cell r="AC10">
            <v>0</v>
          </cell>
        </row>
        <row r="11">
          <cell r="AA11">
            <v>10</v>
          </cell>
          <cell r="AB11">
            <v>0</v>
          </cell>
          <cell r="AC11">
            <v>0</v>
          </cell>
        </row>
        <row r="12">
          <cell r="AA12">
            <v>20</v>
          </cell>
          <cell r="AB12">
            <v>0</v>
          </cell>
          <cell r="AC12">
            <v>0</v>
          </cell>
        </row>
        <row r="13">
          <cell r="AA13">
            <v>9.5</v>
          </cell>
          <cell r="AB13">
            <v>0</v>
          </cell>
          <cell r="AC13">
            <v>0</v>
          </cell>
        </row>
        <row r="14">
          <cell r="AA14">
            <v>10.5</v>
          </cell>
          <cell r="AB14">
            <v>0</v>
          </cell>
          <cell r="AC14">
            <v>0</v>
          </cell>
        </row>
        <row r="15">
          <cell r="C15">
            <v>0</v>
          </cell>
          <cell r="E15">
            <v>296.12</v>
          </cell>
          <cell r="AA15">
            <v>-5</v>
          </cell>
          <cell r="AB15">
            <v>0</v>
          </cell>
          <cell r="AC15">
            <v>0</v>
          </cell>
        </row>
        <row r="16">
          <cell r="AA16" t="e">
            <v>#N/A</v>
          </cell>
          <cell r="AB16">
            <v>0</v>
          </cell>
          <cell r="AC16">
            <v>-29.612000000000002</v>
          </cell>
        </row>
        <row r="17">
          <cell r="AA17" t="e">
            <v>#N/A</v>
          </cell>
          <cell r="AB17">
            <v>0</v>
          </cell>
          <cell r="AC17">
            <v>0</v>
          </cell>
        </row>
        <row r="18">
          <cell r="AA18" t="e">
            <v>#N/A</v>
          </cell>
          <cell r="AB18">
            <v>0</v>
          </cell>
          <cell r="AC18">
            <v>0</v>
          </cell>
        </row>
      </sheetData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DAY"/>
      <sheetName val="Cost est."/>
      <sheetName val="Cost est_"/>
      <sheetName val="Опт "/>
      <sheetName val="ИДН"/>
      <sheetName val="Ввод"/>
      <sheetName val="ГРП"/>
      <sheetName val="БД"/>
      <sheetName val="ППД"/>
      <sheetName val="НПВ"/>
      <sheetName val="Lookup tables"/>
    </sheetNames>
    <sheetDataSet>
      <sheetData sheetId="0" refreshError="1"/>
      <sheetData sheetId="1" refreshError="1">
        <row r="8">
          <cell r="F8" t="str">
            <v xml:space="preserve"> 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Проект"/>
      <sheetName val="КИП"/>
      <sheetName val="План 10м"/>
      <sheetName val="СИБ-2"/>
      <sheetName val="График План"/>
      <sheetName val="ОБЩИЙ ГРАФИК"/>
      <sheetName val="Пространств инт гр10м"/>
      <sheetName val="Анализ ТС"/>
      <sheetName val="Р1"/>
      <sheetName val="Расчет"/>
      <sheetName val="Гр.Анализа"/>
    </sheetNames>
    <sheetDataSet>
      <sheetData sheetId="0"/>
      <sheetData sheetId="1">
        <row r="5">
          <cell r="E5">
            <v>2713</v>
          </cell>
        </row>
        <row r="6">
          <cell r="E6">
            <v>37.479999999999997</v>
          </cell>
        </row>
        <row r="7">
          <cell r="E7">
            <v>649</v>
          </cell>
        </row>
        <row r="8">
          <cell r="E8">
            <v>50</v>
          </cell>
        </row>
      </sheetData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"/>
      <sheetName val="Допустимые отклонения"/>
      <sheetName val="Акт Приёма-Сдачи"/>
      <sheetName val="СМК"/>
      <sheetName val="Технологический журнал"/>
      <sheetName val="Вахтовый журнал"/>
      <sheetName val="Журнал-Бурения"/>
      <sheetName val="12"/>
      <sheetName val="13"/>
      <sheetName val="13 (2)"/>
      <sheetName val="14"/>
      <sheetName val="14 (2)"/>
      <sheetName val="15"/>
      <sheetName val="16"/>
      <sheetName val="17 "/>
      <sheetName val="18  "/>
      <sheetName val="19  "/>
      <sheetName val="20 "/>
      <sheetName val="21 "/>
      <sheetName val="22 "/>
      <sheetName val="22  (2)"/>
      <sheetName val="22  (3)"/>
      <sheetName val="22  (4)"/>
      <sheetName val="23  "/>
      <sheetName val="23   (2)"/>
      <sheetName val="24  "/>
      <sheetName val="25 "/>
      <sheetName val="25  (2)"/>
      <sheetName val="25  (3)"/>
      <sheetName val="26 "/>
      <sheetName val="26  (2)"/>
      <sheetName val="26  (3)"/>
      <sheetName val="27  "/>
      <sheetName val="27(2) "/>
      <sheetName val="28"/>
      <sheetName val="29"/>
    </sheetNames>
    <sheetDataSet>
      <sheetData sheetId="0">
        <row r="1">
          <cell r="C1" t="str">
            <v xml:space="preserve">Направленное бурение в инт-ле () </v>
          </cell>
        </row>
        <row r="2">
          <cell r="C2" t="str">
            <v xml:space="preserve">Бурение ротором в инт-ле () </v>
          </cell>
        </row>
        <row r="4">
          <cell r="C4" t="str">
            <v>Промывка</v>
          </cell>
        </row>
        <row r="5">
          <cell r="C5" t="str">
            <v>Замер</v>
          </cell>
        </row>
        <row r="6">
          <cell r="C6" t="str">
            <v>Наращивание</v>
          </cell>
        </row>
        <row r="7">
          <cell r="C7" t="str">
            <v>Промывка, замер</v>
          </cell>
        </row>
        <row r="8">
          <cell r="C8" t="str">
            <v>Промывка, замер, наращивание</v>
          </cell>
        </row>
        <row r="9">
          <cell r="C9" t="str">
            <v>Промывка (вымыв газовой пачки)</v>
          </cell>
        </row>
        <row r="10">
          <cell r="C10" t="str">
            <v>Сборка КНБК ЦГБ</v>
          </cell>
        </row>
        <row r="11">
          <cell r="C11" t="str">
            <v>Разборка КНБК</v>
          </cell>
        </row>
        <row r="12">
          <cell r="C12" t="str">
            <v>Спуск инструмента</v>
          </cell>
        </row>
        <row r="13">
          <cell r="C13" t="str">
            <v>Спуск инструмента с доливом</v>
          </cell>
        </row>
        <row r="14">
          <cell r="C14" t="str">
            <v>Подъём инструмента</v>
          </cell>
        </row>
        <row r="15">
          <cell r="C15" t="str">
            <v>Смена угла перекоса ВЗД</v>
          </cell>
        </row>
        <row r="16">
          <cell r="C16" t="str">
            <v>Смена ВЗД</v>
          </cell>
        </row>
        <row r="17">
          <cell r="C17" t="str">
            <v>Опробование  ВЗД</v>
          </cell>
        </row>
        <row r="18">
          <cell r="C18" t="str">
            <v>Опробование ВЗД и Т/С</v>
          </cell>
        </row>
        <row r="19">
          <cell r="C19" t="str">
            <v>Наворот долота</v>
          </cell>
        </row>
        <row r="21">
          <cell r="C21" t="str">
            <v>Ремонт насоса</v>
          </cell>
        </row>
        <row r="22">
          <cell r="C22" t="str">
            <v>Ремонт электра оборудования</v>
          </cell>
        </row>
        <row r="24">
          <cell r="C24" t="str">
            <v>ПЗР к Бурению</v>
          </cell>
        </row>
        <row r="25">
          <cell r="C25" t="str">
            <v>ПЗР к СПО</v>
          </cell>
        </row>
        <row r="26">
          <cell r="C26" t="str">
            <v>Проработка</v>
          </cell>
        </row>
        <row r="28">
          <cell r="C28" t="str">
            <v xml:space="preserve">Сборка инструмента </v>
          </cell>
        </row>
        <row r="29">
          <cell r="C29" t="str">
            <v xml:space="preserve">Сборка УБТ  </v>
          </cell>
        </row>
        <row r="30">
          <cell r="C30" t="str">
            <v>Бурение роторной КНБК</v>
          </cell>
        </row>
        <row r="31">
          <cell r="C31" t="str">
            <v>Спуск со сборкой инструмента</v>
          </cell>
        </row>
        <row r="32">
          <cell r="C32" t="str">
            <v>Спуск до забоя</v>
          </cell>
        </row>
        <row r="34">
          <cell r="C34" t="str">
            <v>Тарировка датчика глубины</v>
          </cell>
        </row>
        <row r="35">
          <cell r="C35" t="str">
            <v>Настройка телесистемы</v>
          </cell>
        </row>
        <row r="37">
          <cell r="C37" t="str">
            <v>Разборка КНБК, сборка роторной КНБК</v>
          </cell>
        </row>
        <row r="38">
          <cell r="C38" t="str">
            <v>Выброс УБТ</v>
          </cell>
        </row>
        <row r="39">
          <cell r="C39" t="str">
            <v>СПО, (профилактический подъём в башмак)</v>
          </cell>
        </row>
        <row r="40">
          <cell r="C40" t="str">
            <v xml:space="preserve">Профилактика ствола скважины 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"/>
      <sheetName val="Акт Приёма-Сдачи"/>
      <sheetName val="Вахтовый журнал"/>
      <sheetName val="Технологический журнал"/>
      <sheetName val="Журнал-Бурения"/>
      <sheetName val="22"/>
      <sheetName val="23"/>
      <sheetName val="24"/>
      <sheetName val="25"/>
      <sheetName val="26"/>
      <sheetName val="27"/>
    </sheetNames>
    <sheetDataSet>
      <sheetData sheetId="0">
        <row r="1">
          <cell r="A1" t="str">
            <v>Долото</v>
          </cell>
          <cell r="B1">
            <v>0</v>
          </cell>
          <cell r="C1" t="str">
            <v xml:space="preserve">Направленное бурение в инт-ле () </v>
          </cell>
          <cell r="E1" t="str">
            <v>УСТ.</v>
          </cell>
          <cell r="G1" t="str">
            <v>GRIFFITH 9 5/8</v>
          </cell>
        </row>
        <row r="2">
          <cell r="A2" t="str">
            <v>ВЗД</v>
          </cell>
          <cell r="B2">
            <v>3.472222222222222E-3</v>
          </cell>
          <cell r="C2" t="str">
            <v xml:space="preserve">Бурение ротором в инт-ле () </v>
          </cell>
          <cell r="E2" t="str">
            <v>РОТОР</v>
          </cell>
          <cell r="G2" t="str">
            <v>GRIFFITH 6 3/4</v>
          </cell>
        </row>
        <row r="3">
          <cell r="A3" t="str">
            <v>Телесистема</v>
          </cell>
          <cell r="B3">
            <v>6.9444444444444397E-3</v>
          </cell>
          <cell r="E3" t="str">
            <v>УСТ/РОТ</v>
          </cell>
          <cell r="G3" t="str">
            <v>GRIFFITH 4 3/4</v>
          </cell>
        </row>
        <row r="4">
          <cell r="A4" t="str">
            <v>Демаг. УБТ</v>
          </cell>
          <cell r="B4">
            <v>1.0416666666666701E-2</v>
          </cell>
          <cell r="C4" t="str">
            <v>Промывка</v>
          </cell>
          <cell r="E4" t="str">
            <v>РОТ/УСТ</v>
          </cell>
          <cell r="G4" t="str">
            <v>GRIFFITH 3 3/4</v>
          </cell>
        </row>
        <row r="5">
          <cell r="A5" t="str">
            <v>УБТС</v>
          </cell>
          <cell r="B5">
            <v>1.38888888888889E-2</v>
          </cell>
          <cell r="C5" t="str">
            <v>Замер</v>
          </cell>
          <cell r="G5" t="str">
            <v>GRIFFITH 3 5/8</v>
          </cell>
        </row>
        <row r="6">
          <cell r="A6" t="str">
            <v>Стабилизатор</v>
          </cell>
          <cell r="B6">
            <v>1.7361111111111101E-2</v>
          </cell>
          <cell r="C6" t="str">
            <v>Наращивание</v>
          </cell>
          <cell r="G6" t="str">
            <v>ДВР3-176</v>
          </cell>
        </row>
        <row r="7">
          <cell r="A7" t="str">
            <v>Центратор</v>
          </cell>
          <cell r="B7">
            <v>2.0833333333333301E-2</v>
          </cell>
          <cell r="C7" t="str">
            <v>Промывка с расхаживанием</v>
          </cell>
          <cell r="F7" t="str">
            <v>Triplex</v>
          </cell>
          <cell r="G7" t="str">
            <v>ДР-176</v>
          </cell>
        </row>
        <row r="8">
          <cell r="A8" t="str">
            <v>Переводник</v>
          </cell>
          <cell r="B8">
            <v>2.4305555555555601E-2</v>
          </cell>
          <cell r="C8" t="str">
            <v>Сборка КНБК ЦГБ</v>
          </cell>
          <cell r="F8" t="str">
            <v>Duplex</v>
          </cell>
          <cell r="G8" t="str">
            <v>ДГ-172</v>
          </cell>
        </row>
        <row r="9">
          <cell r="A9" t="str">
            <v>Корп.фильтра</v>
          </cell>
          <cell r="B9">
            <v>2.7777777777777801E-2</v>
          </cell>
          <cell r="C9" t="str">
            <v>Разборка КНБК</v>
          </cell>
          <cell r="G9" t="str">
            <v>Д1-240</v>
          </cell>
        </row>
        <row r="10">
          <cell r="A10" t="str">
            <v xml:space="preserve"> ТБПВ</v>
          </cell>
          <cell r="B10">
            <v>3.125E-2</v>
          </cell>
          <cell r="C10" t="str">
            <v>Спуск инструмента</v>
          </cell>
          <cell r="G10" t="str">
            <v>ДР-240</v>
          </cell>
        </row>
        <row r="11">
          <cell r="A11" t="str">
            <v>Фрез. перевод</v>
          </cell>
          <cell r="B11">
            <v>3.4722222222222203E-2</v>
          </cell>
          <cell r="C11" t="str">
            <v>Подъём инструмента</v>
          </cell>
          <cell r="G11" t="str">
            <v>ДР-95</v>
          </cell>
        </row>
        <row r="12">
          <cell r="A12" t="str">
            <v>КЛС</v>
          </cell>
          <cell r="B12">
            <v>3.8194444444444399E-2</v>
          </cell>
          <cell r="C12" t="str">
            <v>Смена ВЗД</v>
          </cell>
        </row>
        <row r="13">
          <cell r="B13">
            <v>4.1666666666666699E-2</v>
          </cell>
          <cell r="C13" t="str">
            <v>Смена перекоса ВЗД</v>
          </cell>
        </row>
        <row r="14">
          <cell r="B14">
            <v>4.5138888888888902E-2</v>
          </cell>
          <cell r="C14" t="str">
            <v>Опробование  ВЗД</v>
          </cell>
        </row>
        <row r="15">
          <cell r="B15">
            <v>4.8611111111111098E-2</v>
          </cell>
          <cell r="C15" t="str">
            <v>Опробование ВЗД и Т/С</v>
          </cell>
          <cell r="F15">
            <v>1200</v>
          </cell>
        </row>
        <row r="16">
          <cell r="B16">
            <v>5.2083333333333301E-2</v>
          </cell>
          <cell r="C16" t="str">
            <v>Наворот долота</v>
          </cell>
          <cell r="F16">
            <v>650</v>
          </cell>
        </row>
        <row r="17">
          <cell r="B17">
            <v>5.5555555555555601E-2</v>
          </cell>
          <cell r="F17" t="str">
            <v>Slimhole</v>
          </cell>
        </row>
        <row r="18">
          <cell r="B18">
            <v>5.9027777777777797E-2</v>
          </cell>
          <cell r="C18" t="str">
            <v>Ремонт насоса</v>
          </cell>
          <cell r="F18" t="str">
            <v>Superslim</v>
          </cell>
        </row>
        <row r="19">
          <cell r="B19">
            <v>6.25E-2</v>
          </cell>
          <cell r="C19" t="str">
            <v>Ремонт АКБ</v>
          </cell>
        </row>
        <row r="20">
          <cell r="B20">
            <v>6.5972222222222196E-2</v>
          </cell>
          <cell r="C20" t="str">
            <v>ПЗР к Бурению</v>
          </cell>
        </row>
        <row r="21">
          <cell r="B21">
            <v>6.9444444444444406E-2</v>
          </cell>
          <cell r="C21" t="str">
            <v>ПЗР к СПО</v>
          </cell>
        </row>
        <row r="22">
          <cell r="B22">
            <v>7.2916666666666699E-2</v>
          </cell>
          <cell r="C22" t="str">
            <v>Проработка</v>
          </cell>
        </row>
        <row r="23">
          <cell r="B23">
            <v>7.6388888888888895E-2</v>
          </cell>
          <cell r="C23" t="str">
            <v>Настройка телесистемы</v>
          </cell>
        </row>
        <row r="24">
          <cell r="B24">
            <v>7.9861111111111105E-2</v>
          </cell>
          <cell r="C24" t="str">
            <v xml:space="preserve">Сборка инструмента </v>
          </cell>
        </row>
        <row r="25">
          <cell r="B25">
            <v>8.3333333333333301E-2</v>
          </cell>
          <cell r="C25" t="str">
            <v xml:space="preserve">Сборка УБТ  </v>
          </cell>
        </row>
        <row r="26">
          <cell r="B26">
            <v>8.6805555555555594E-2</v>
          </cell>
          <cell r="C26" t="str">
            <v>Бурение роторной КНБК</v>
          </cell>
        </row>
        <row r="27">
          <cell r="B27">
            <v>9.0277777777777804E-2</v>
          </cell>
          <cell r="C27" t="str">
            <v>Подъём и устаноака УБТ за палец</v>
          </cell>
        </row>
        <row r="28">
          <cell r="B28">
            <v>9.375E-2</v>
          </cell>
          <cell r="C28" t="str">
            <v>Спуск со сборкой инструмента</v>
          </cell>
        </row>
        <row r="29">
          <cell r="B29">
            <v>9.7222222222222196E-2</v>
          </cell>
          <cell r="C29" t="str">
            <v>Промывка после обработки раствора</v>
          </cell>
        </row>
        <row r="30">
          <cell r="B30">
            <v>0.100694444444444</v>
          </cell>
          <cell r="C30" t="str">
            <v>Спуск с промывкой</v>
          </cell>
        </row>
        <row r="31">
          <cell r="B31">
            <v>0.104166666666667</v>
          </cell>
          <cell r="C31" t="str">
            <v>Промывка (вымыв газовой пачки)</v>
          </cell>
        </row>
        <row r="32">
          <cell r="B32">
            <v>0.10763888888888901</v>
          </cell>
        </row>
        <row r="33">
          <cell r="B33">
            <v>0.11111111111111099</v>
          </cell>
          <cell r="C33" t="str">
            <v>Спуск до забоя</v>
          </cell>
        </row>
        <row r="34">
          <cell r="B34">
            <v>0.114583333333333</v>
          </cell>
          <cell r="C34" t="str">
            <v>Тарировка датчиков</v>
          </cell>
        </row>
        <row r="35">
          <cell r="B35">
            <v>0.118055555555556</v>
          </cell>
          <cell r="C35" t="str">
            <v>Смена обратного клапана ВЗД</v>
          </cell>
        </row>
        <row r="36">
          <cell r="B36">
            <v>0.121527777777778</v>
          </cell>
          <cell r="C36" t="str">
            <v>Ожидание инструмента</v>
          </cell>
        </row>
        <row r="37">
          <cell r="B37">
            <v>0.125</v>
          </cell>
          <cell r="C37" t="str">
            <v>Разборка КНБК, сборка роторной КНБК</v>
          </cell>
        </row>
        <row r="38">
          <cell r="B38">
            <v>0.12847222222222199</v>
          </cell>
          <cell r="C38" t="str">
            <v>Выброс УБТ</v>
          </cell>
        </row>
        <row r="39">
          <cell r="B39">
            <v>0.131944444444444</v>
          </cell>
          <cell r="C39" t="str">
            <v>Профилактический подъём в башмак</v>
          </cell>
        </row>
        <row r="40">
          <cell r="B40">
            <v>0.13541666666666699</v>
          </cell>
          <cell r="C40" t="str">
            <v xml:space="preserve">Профилактика ствола скважины </v>
          </cell>
        </row>
        <row r="41">
          <cell r="B41">
            <v>0.13888888888888901</v>
          </cell>
          <cell r="C41" t="str">
            <v>Спуск с докреплением</v>
          </cell>
        </row>
        <row r="42">
          <cell r="B42">
            <v>0.14236111111111099</v>
          </cell>
          <cell r="C42" t="str">
            <v>Работа магнитным фрезам и ШМУ</v>
          </cell>
        </row>
        <row r="43">
          <cell r="B43">
            <v>0.14583333333333301</v>
          </cell>
          <cell r="C43" t="str">
            <v>Ремонт электра оборудования</v>
          </cell>
        </row>
        <row r="44">
          <cell r="B44">
            <v>0.149305555555556</v>
          </cell>
          <cell r="C44" t="str">
            <v>Ремонт компрессора</v>
          </cell>
        </row>
        <row r="45">
          <cell r="B45">
            <v>0.15277777777777801</v>
          </cell>
        </row>
        <row r="46">
          <cell r="B46">
            <v>0.15625</v>
          </cell>
        </row>
        <row r="47">
          <cell r="B47">
            <v>0.15972222222222199</v>
          </cell>
        </row>
        <row r="48">
          <cell r="B48">
            <v>0.163194444444444</v>
          </cell>
        </row>
        <row r="49">
          <cell r="B49">
            <v>0.16666666666666699</v>
          </cell>
        </row>
        <row r="50">
          <cell r="B50">
            <v>0.17013888888888901</v>
          </cell>
        </row>
        <row r="51">
          <cell r="B51">
            <v>0.17361111111111099</v>
          </cell>
        </row>
        <row r="52">
          <cell r="B52">
            <v>0.17708333333333301</v>
          </cell>
        </row>
        <row r="53">
          <cell r="B53">
            <v>0.180555555555556</v>
          </cell>
        </row>
        <row r="54">
          <cell r="B54">
            <v>0.18402777777777801</v>
          </cell>
        </row>
        <row r="55">
          <cell r="B55">
            <v>0.1875</v>
          </cell>
        </row>
        <row r="56">
          <cell r="B56">
            <v>0.19097222222222199</v>
          </cell>
        </row>
        <row r="57">
          <cell r="B57">
            <v>0.194444444444444</v>
          </cell>
        </row>
        <row r="58">
          <cell r="B58">
            <v>0.19791666666666699</v>
          </cell>
        </row>
        <row r="59">
          <cell r="B59">
            <v>0.20138888888888901</v>
          </cell>
        </row>
        <row r="60">
          <cell r="B60">
            <v>0.20486111111111099</v>
          </cell>
        </row>
        <row r="61">
          <cell r="B61">
            <v>0.20833333333333301</v>
          </cell>
        </row>
        <row r="62">
          <cell r="B62">
            <v>0.211805555555556</v>
          </cell>
        </row>
        <row r="63">
          <cell r="B63">
            <v>0.21527777777777801</v>
          </cell>
        </row>
        <row r="64">
          <cell r="B64">
            <v>0.21875</v>
          </cell>
        </row>
        <row r="65">
          <cell r="B65">
            <v>0.22222222222222199</v>
          </cell>
        </row>
        <row r="66">
          <cell r="B66">
            <v>0.225694444444444</v>
          </cell>
        </row>
        <row r="67">
          <cell r="B67">
            <v>0.22916666666666699</v>
          </cell>
        </row>
        <row r="68">
          <cell r="B68">
            <v>0.23263888888888901</v>
          </cell>
        </row>
        <row r="69">
          <cell r="B69">
            <v>0.23611111111111099</v>
          </cell>
        </row>
        <row r="70">
          <cell r="B70">
            <v>0.23958333333333301</v>
          </cell>
        </row>
        <row r="71">
          <cell r="B71">
            <v>0.243055555555556</v>
          </cell>
        </row>
        <row r="72">
          <cell r="B72">
            <v>0.24652777777777801</v>
          </cell>
        </row>
        <row r="73">
          <cell r="B73">
            <v>0.25</v>
          </cell>
        </row>
        <row r="74">
          <cell r="B74">
            <v>0.25347222222222199</v>
          </cell>
        </row>
        <row r="75">
          <cell r="B75">
            <v>0.25694444444444398</v>
          </cell>
        </row>
        <row r="76">
          <cell r="B76">
            <v>0.26041666666666702</v>
          </cell>
        </row>
        <row r="77">
          <cell r="B77">
            <v>0.26388888888888901</v>
          </cell>
        </row>
        <row r="78">
          <cell r="B78">
            <v>0.26736111111111099</v>
          </cell>
        </row>
        <row r="79">
          <cell r="B79">
            <v>0.27083333333333298</v>
          </cell>
        </row>
        <row r="80">
          <cell r="B80">
            <v>0.27430555555555602</v>
          </cell>
        </row>
        <row r="81">
          <cell r="B81">
            <v>0.27777777777777801</v>
          </cell>
        </row>
        <row r="82">
          <cell r="B82">
            <v>0.28125</v>
          </cell>
        </row>
        <row r="83">
          <cell r="B83">
            <v>0.28472222222222199</v>
          </cell>
        </row>
        <row r="84">
          <cell r="B84">
            <v>0.28819444444444398</v>
          </cell>
        </row>
        <row r="85">
          <cell r="B85">
            <v>0.29166666666666702</v>
          </cell>
        </row>
        <row r="86">
          <cell r="B86">
            <v>0.29513888888888901</v>
          </cell>
        </row>
        <row r="87">
          <cell r="B87">
            <v>0.29861111111111099</v>
          </cell>
        </row>
        <row r="88">
          <cell r="B88">
            <v>0.30208333333333298</v>
          </cell>
        </row>
        <row r="89">
          <cell r="B89">
            <v>0.30555555555555602</v>
          </cell>
        </row>
        <row r="90">
          <cell r="B90">
            <v>0.30902777777777801</v>
          </cell>
        </row>
        <row r="91">
          <cell r="B91">
            <v>0.3125</v>
          </cell>
        </row>
        <row r="92">
          <cell r="B92">
            <v>0.31597222222222199</v>
          </cell>
        </row>
        <row r="93">
          <cell r="B93">
            <v>0.31944444444444398</v>
          </cell>
        </row>
        <row r="94">
          <cell r="B94">
            <v>0.32291666666666702</v>
          </cell>
        </row>
        <row r="95">
          <cell r="B95">
            <v>0.32638888888888901</v>
          </cell>
        </row>
        <row r="96">
          <cell r="B96">
            <v>0.32986111111111099</v>
          </cell>
        </row>
        <row r="97">
          <cell r="B97">
            <v>0.33333333333333298</v>
          </cell>
        </row>
        <row r="98">
          <cell r="B98">
            <v>0.33680555555555602</v>
          </cell>
        </row>
        <row r="99">
          <cell r="B99">
            <v>0.34027777777777801</v>
          </cell>
        </row>
        <row r="100">
          <cell r="B100">
            <v>0.34375</v>
          </cell>
        </row>
        <row r="101">
          <cell r="B101">
            <v>0.34722222222222199</v>
          </cell>
        </row>
        <row r="102">
          <cell r="B102">
            <v>0.35069444444444398</v>
          </cell>
        </row>
        <row r="103">
          <cell r="B103">
            <v>0.35416666666666702</v>
          </cell>
        </row>
        <row r="104">
          <cell r="B104">
            <v>0.35763888888888901</v>
          </cell>
        </row>
        <row r="105">
          <cell r="B105">
            <v>0.36111111111111099</v>
          </cell>
        </row>
        <row r="106">
          <cell r="B106">
            <v>0.36458333333333298</v>
          </cell>
        </row>
        <row r="107">
          <cell r="B107">
            <v>0.36805555555555602</v>
          </cell>
        </row>
        <row r="108">
          <cell r="B108">
            <v>0.37152777777777801</v>
          </cell>
        </row>
        <row r="109">
          <cell r="B109">
            <v>0.375</v>
          </cell>
        </row>
        <row r="110">
          <cell r="B110">
            <v>0.37847222222222199</v>
          </cell>
        </row>
        <row r="111">
          <cell r="B111">
            <v>0.38194444444444398</v>
          </cell>
        </row>
        <row r="112">
          <cell r="B112">
            <v>0.38541666666666702</v>
          </cell>
        </row>
        <row r="113">
          <cell r="B113">
            <v>0.38888888888888901</v>
          </cell>
        </row>
        <row r="114">
          <cell r="B114">
            <v>0.39236111111111099</v>
          </cell>
        </row>
        <row r="115">
          <cell r="B115">
            <v>0.39583333333333298</v>
          </cell>
        </row>
        <row r="116">
          <cell r="B116">
            <v>0.39930555555555602</v>
          </cell>
        </row>
        <row r="117">
          <cell r="B117">
            <v>0.40277777777777801</v>
          </cell>
        </row>
        <row r="118">
          <cell r="B118">
            <v>0.40625</v>
          </cell>
        </row>
        <row r="119">
          <cell r="B119">
            <v>0.40972222222222199</v>
          </cell>
        </row>
        <row r="120">
          <cell r="B120">
            <v>0.41319444444444398</v>
          </cell>
        </row>
        <row r="121">
          <cell r="B121">
            <v>0.41666666666666702</v>
          </cell>
        </row>
        <row r="122">
          <cell r="B122">
            <v>0.42013888888888901</v>
          </cell>
        </row>
        <row r="123">
          <cell r="B123">
            <v>0.42361111111111099</v>
          </cell>
        </row>
        <row r="124">
          <cell r="B124">
            <v>0.42708333333333298</v>
          </cell>
        </row>
        <row r="125">
          <cell r="B125">
            <v>0.43055555555555602</v>
          </cell>
        </row>
        <row r="126">
          <cell r="B126">
            <v>0.43402777777777801</v>
          </cell>
        </row>
        <row r="127">
          <cell r="B127">
            <v>0.4375</v>
          </cell>
        </row>
        <row r="128">
          <cell r="B128">
            <v>0.44097222222222199</v>
          </cell>
        </row>
        <row r="129">
          <cell r="B129">
            <v>0.44444444444444398</v>
          </cell>
        </row>
        <row r="130">
          <cell r="B130">
            <v>0.44791666666666702</v>
          </cell>
        </row>
        <row r="131">
          <cell r="B131">
            <v>0.45138888888888901</v>
          </cell>
        </row>
        <row r="132">
          <cell r="B132">
            <v>0.45486111111111099</v>
          </cell>
        </row>
        <row r="133">
          <cell r="B133">
            <v>0.45833333333333298</v>
          </cell>
        </row>
        <row r="134">
          <cell r="B134">
            <v>0.46180555555555602</v>
          </cell>
        </row>
        <row r="135">
          <cell r="B135">
            <v>0.46527777777777801</v>
          </cell>
        </row>
        <row r="136">
          <cell r="B136">
            <v>0.46875</v>
          </cell>
        </row>
        <row r="137">
          <cell r="B137">
            <v>0.47222222222222199</v>
          </cell>
        </row>
        <row r="138">
          <cell r="B138">
            <v>0.47569444444444398</v>
          </cell>
        </row>
        <row r="139">
          <cell r="B139">
            <v>0.47916666666666702</v>
          </cell>
        </row>
        <row r="140">
          <cell r="B140">
            <v>0.48263888888888901</v>
          </cell>
        </row>
        <row r="141">
          <cell r="B141">
            <v>0.48611111111111099</v>
          </cell>
        </row>
        <row r="142">
          <cell r="B142">
            <v>0.48958333333333298</v>
          </cell>
        </row>
        <row r="143">
          <cell r="B143">
            <v>0.49305555555555602</v>
          </cell>
        </row>
        <row r="144">
          <cell r="B144">
            <v>0.49652777777777801</v>
          </cell>
        </row>
        <row r="145">
          <cell r="B145">
            <v>0.5</v>
          </cell>
        </row>
        <row r="146">
          <cell r="B146">
            <v>0.50347222222222199</v>
          </cell>
        </row>
        <row r="147">
          <cell r="B147">
            <v>0.50694444444444398</v>
          </cell>
        </row>
        <row r="148">
          <cell r="B148">
            <v>0.51041666666666696</v>
          </cell>
        </row>
        <row r="149">
          <cell r="B149">
            <v>0.51388888888888895</v>
          </cell>
        </row>
        <row r="150">
          <cell r="B150">
            <v>0.51736111111111105</v>
          </cell>
        </row>
        <row r="151">
          <cell r="B151">
            <v>0.52083333333333304</v>
          </cell>
        </row>
        <row r="152">
          <cell r="B152">
            <v>0.52430555555555602</v>
          </cell>
        </row>
        <row r="153">
          <cell r="B153">
            <v>0.52777777777777801</v>
          </cell>
        </row>
        <row r="154">
          <cell r="B154">
            <v>0.53125</v>
          </cell>
        </row>
        <row r="155">
          <cell r="B155">
            <v>0.53472222222222199</v>
          </cell>
        </row>
        <row r="156">
          <cell r="B156">
            <v>0.53819444444444398</v>
          </cell>
        </row>
        <row r="157">
          <cell r="B157">
            <v>0.54166666666666696</v>
          </cell>
        </row>
        <row r="158">
          <cell r="B158">
            <v>0.54513888888888895</v>
          </cell>
        </row>
        <row r="159">
          <cell r="B159">
            <v>0.54861111111111105</v>
          </cell>
        </row>
        <row r="160">
          <cell r="B160">
            <v>0.55208333333333304</v>
          </cell>
        </row>
        <row r="161">
          <cell r="B161">
            <v>0.55555555555555602</v>
          </cell>
        </row>
        <row r="162">
          <cell r="B162">
            <v>0.55902777777777801</v>
          </cell>
        </row>
        <row r="163">
          <cell r="B163">
            <v>0.5625</v>
          </cell>
        </row>
        <row r="164">
          <cell r="B164">
            <v>0.56597222222222199</v>
          </cell>
        </row>
        <row r="165">
          <cell r="B165">
            <v>0.56944444444444398</v>
          </cell>
        </row>
        <row r="166">
          <cell r="B166">
            <v>0.57291666666666696</v>
          </cell>
        </row>
        <row r="167">
          <cell r="B167">
            <v>0.57638888888888895</v>
          </cell>
        </row>
        <row r="168">
          <cell r="B168">
            <v>0.57986111111111105</v>
          </cell>
        </row>
        <row r="169">
          <cell r="B169">
            <v>0.58333333333333304</v>
          </cell>
        </row>
        <row r="170">
          <cell r="B170">
            <v>0.58680555555555503</v>
          </cell>
        </row>
        <row r="171">
          <cell r="B171">
            <v>0.59027777777777801</v>
          </cell>
        </row>
        <row r="172">
          <cell r="B172">
            <v>0.59375</v>
          </cell>
        </row>
        <row r="173">
          <cell r="B173">
            <v>0.59722222222222199</v>
          </cell>
        </row>
        <row r="174">
          <cell r="B174">
            <v>0.60069444444444398</v>
          </cell>
        </row>
        <row r="175">
          <cell r="B175">
            <v>0.60416666666666696</v>
          </cell>
        </row>
        <row r="176">
          <cell r="B176">
            <v>0.60763888888888895</v>
          </cell>
        </row>
        <row r="177">
          <cell r="B177">
            <v>0.61111111111111105</v>
          </cell>
        </row>
        <row r="178">
          <cell r="B178">
            <v>0.61458333333333304</v>
          </cell>
        </row>
        <row r="179">
          <cell r="B179">
            <v>0.61805555555555503</v>
          </cell>
        </row>
        <row r="180">
          <cell r="B180">
            <v>0.62152777777777801</v>
          </cell>
        </row>
        <row r="181">
          <cell r="B181">
            <v>0.625</v>
          </cell>
        </row>
        <row r="182">
          <cell r="B182">
            <v>0.62847222222222199</v>
          </cell>
        </row>
        <row r="183">
          <cell r="B183">
            <v>0.63194444444444398</v>
          </cell>
        </row>
        <row r="184">
          <cell r="B184">
            <v>0.63541666666666696</v>
          </cell>
        </row>
        <row r="185">
          <cell r="B185">
            <v>0.63888888888888895</v>
          </cell>
        </row>
        <row r="186">
          <cell r="B186">
            <v>0.64236111111111105</v>
          </cell>
        </row>
        <row r="187">
          <cell r="B187">
            <v>0.64583333333333304</v>
          </cell>
        </row>
        <row r="188">
          <cell r="B188">
            <v>0.64930555555555503</v>
          </cell>
        </row>
        <row r="189">
          <cell r="B189">
            <v>0.65277777777777801</v>
          </cell>
        </row>
        <row r="190">
          <cell r="B190">
            <v>0.65625</v>
          </cell>
        </row>
        <row r="191">
          <cell r="B191">
            <v>0.65972222222222199</v>
          </cell>
        </row>
        <row r="192">
          <cell r="B192">
            <v>0.66319444444444398</v>
          </cell>
        </row>
        <row r="193">
          <cell r="B193">
            <v>0.66666666666666696</v>
          </cell>
        </row>
        <row r="194">
          <cell r="B194">
            <v>0.67013888888888895</v>
          </cell>
        </row>
        <row r="195">
          <cell r="B195">
            <v>0.67361111111111105</v>
          </cell>
        </row>
        <row r="196">
          <cell r="B196">
            <v>0.67708333333333304</v>
          </cell>
        </row>
        <row r="197">
          <cell r="B197">
            <v>0.68055555555555503</v>
          </cell>
        </row>
        <row r="198">
          <cell r="B198">
            <v>0.68402777777777801</v>
          </cell>
        </row>
        <row r="199">
          <cell r="B199">
            <v>0.6875</v>
          </cell>
        </row>
        <row r="200">
          <cell r="B200">
            <v>0.69097222222222199</v>
          </cell>
        </row>
        <row r="201">
          <cell r="B201">
            <v>0.69444444444444398</v>
          </cell>
        </row>
        <row r="202">
          <cell r="B202">
            <v>0.69791666666666696</v>
          </cell>
        </row>
        <row r="203">
          <cell r="B203">
            <v>0.70138888888888895</v>
          </cell>
        </row>
        <row r="204">
          <cell r="B204">
            <v>0.70486111111111105</v>
          </cell>
        </row>
        <row r="205">
          <cell r="B205">
            <v>0.70833333333333304</v>
          </cell>
        </row>
        <row r="206">
          <cell r="B206">
            <v>0.71180555555555503</v>
          </cell>
        </row>
        <row r="207">
          <cell r="B207">
            <v>0.71527777777777801</v>
          </cell>
        </row>
        <row r="208">
          <cell r="B208">
            <v>0.71875</v>
          </cell>
        </row>
        <row r="209">
          <cell r="B209">
            <v>0.72222222222222199</v>
          </cell>
        </row>
        <row r="210">
          <cell r="B210">
            <v>0.72569444444444398</v>
          </cell>
        </row>
        <row r="211">
          <cell r="B211">
            <v>0.72916666666666696</v>
          </cell>
        </row>
        <row r="212">
          <cell r="B212">
            <v>0.73263888888888895</v>
          </cell>
        </row>
        <row r="213">
          <cell r="B213">
            <v>0.73611111111111105</v>
          </cell>
        </row>
        <row r="214">
          <cell r="B214">
            <v>0.73958333333333304</v>
          </cell>
        </row>
        <row r="215">
          <cell r="B215">
            <v>0.74305555555555503</v>
          </cell>
        </row>
        <row r="216">
          <cell r="B216">
            <v>0.74652777777777801</v>
          </cell>
        </row>
        <row r="217">
          <cell r="B217">
            <v>0.75</v>
          </cell>
        </row>
        <row r="218">
          <cell r="B218">
            <v>0.75347222222222199</v>
          </cell>
        </row>
        <row r="219">
          <cell r="B219">
            <v>0.75694444444444398</v>
          </cell>
        </row>
        <row r="220">
          <cell r="B220">
            <v>0.76041666666666696</v>
          </cell>
        </row>
        <row r="221">
          <cell r="B221">
            <v>0.76388888888888895</v>
          </cell>
        </row>
        <row r="222">
          <cell r="B222">
            <v>0.76736111111111105</v>
          </cell>
        </row>
        <row r="223">
          <cell r="B223">
            <v>0.77083333333333304</v>
          </cell>
        </row>
        <row r="224">
          <cell r="B224">
            <v>0.77430555555555503</v>
          </cell>
        </row>
        <row r="225">
          <cell r="B225">
            <v>0.77777777777777801</v>
          </cell>
        </row>
        <row r="226">
          <cell r="B226">
            <v>0.78125</v>
          </cell>
        </row>
        <row r="227">
          <cell r="B227">
            <v>0.78472222222222199</v>
          </cell>
        </row>
        <row r="228">
          <cell r="B228">
            <v>0.78819444444444398</v>
          </cell>
        </row>
        <row r="229">
          <cell r="B229">
            <v>0.79166666666666696</v>
          </cell>
        </row>
        <row r="230">
          <cell r="B230">
            <v>0.79513888888888895</v>
          </cell>
        </row>
        <row r="231">
          <cell r="B231">
            <v>0.79861111111111105</v>
          </cell>
        </row>
        <row r="232">
          <cell r="B232">
            <v>0.80208333333333304</v>
          </cell>
        </row>
        <row r="233">
          <cell r="B233">
            <v>0.80555555555555503</v>
          </cell>
        </row>
        <row r="234">
          <cell r="B234">
            <v>0.80902777777777801</v>
          </cell>
        </row>
        <row r="235">
          <cell r="B235">
            <v>0.8125</v>
          </cell>
        </row>
        <row r="236">
          <cell r="B236">
            <v>0.81597222222222199</v>
          </cell>
        </row>
        <row r="237">
          <cell r="B237">
            <v>0.81944444444444398</v>
          </cell>
        </row>
        <row r="238">
          <cell r="B238">
            <v>0.82291666666666696</v>
          </cell>
        </row>
        <row r="239">
          <cell r="B239">
            <v>0.82638888888888895</v>
          </cell>
        </row>
        <row r="240">
          <cell r="B240">
            <v>0.82986111111111105</v>
          </cell>
        </row>
        <row r="241">
          <cell r="B241">
            <v>0.83333333333333304</v>
          </cell>
        </row>
        <row r="242">
          <cell r="B242">
            <v>0.83680555555555503</v>
          </cell>
        </row>
        <row r="243">
          <cell r="B243">
            <v>0.84027777777777801</v>
          </cell>
        </row>
        <row r="244">
          <cell r="B244">
            <v>0.84375</v>
          </cell>
        </row>
        <row r="245">
          <cell r="B245">
            <v>0.84722222222222199</v>
          </cell>
        </row>
        <row r="246">
          <cell r="B246">
            <v>0.85069444444444398</v>
          </cell>
        </row>
        <row r="247">
          <cell r="B247">
            <v>0.85416666666666696</v>
          </cell>
        </row>
        <row r="248">
          <cell r="B248">
            <v>0.85763888888888895</v>
          </cell>
        </row>
        <row r="249">
          <cell r="B249">
            <v>0.86111111111111105</v>
          </cell>
        </row>
        <row r="250">
          <cell r="B250">
            <v>0.86458333333333304</v>
          </cell>
        </row>
        <row r="251">
          <cell r="B251">
            <v>0.86805555555555503</v>
          </cell>
        </row>
        <row r="252">
          <cell r="B252">
            <v>0.87152777777777801</v>
          </cell>
        </row>
        <row r="253">
          <cell r="B253">
            <v>0.875</v>
          </cell>
        </row>
        <row r="254">
          <cell r="B254">
            <v>0.87847222222222199</v>
          </cell>
        </row>
        <row r="255">
          <cell r="B255">
            <v>0.88194444444444398</v>
          </cell>
        </row>
        <row r="256">
          <cell r="B256">
            <v>0.88541666666666696</v>
          </cell>
        </row>
        <row r="257">
          <cell r="B257">
            <v>0.88888888888888895</v>
          </cell>
        </row>
        <row r="258">
          <cell r="B258">
            <v>0.89236111111111105</v>
          </cell>
        </row>
        <row r="259">
          <cell r="B259">
            <v>0.89583333333333304</v>
          </cell>
        </row>
        <row r="260">
          <cell r="B260">
            <v>0.89930555555555503</v>
          </cell>
        </row>
        <row r="261">
          <cell r="B261">
            <v>0.90277777777777801</v>
          </cell>
        </row>
        <row r="262">
          <cell r="B262">
            <v>0.90625</v>
          </cell>
        </row>
        <row r="263">
          <cell r="B263">
            <v>0.90972222222222199</v>
          </cell>
        </row>
        <row r="264">
          <cell r="B264">
            <v>0.91319444444444398</v>
          </cell>
        </row>
        <row r="265">
          <cell r="B265">
            <v>0.91666666666666696</v>
          </cell>
        </row>
        <row r="266">
          <cell r="B266">
            <v>0.92013888888888895</v>
          </cell>
        </row>
        <row r="267">
          <cell r="B267">
            <v>0.92361111111111105</v>
          </cell>
        </row>
        <row r="268">
          <cell r="B268">
            <v>0.92708333333333304</v>
          </cell>
        </row>
        <row r="269">
          <cell r="B269">
            <v>0.93055555555555503</v>
          </cell>
        </row>
        <row r="270">
          <cell r="B270">
            <v>0.93402777777777801</v>
          </cell>
        </row>
        <row r="271">
          <cell r="B271">
            <v>0.9375</v>
          </cell>
        </row>
        <row r="272">
          <cell r="B272">
            <v>0.94097222222222199</v>
          </cell>
        </row>
        <row r="273">
          <cell r="B273">
            <v>0.94444444444444398</v>
          </cell>
        </row>
        <row r="274">
          <cell r="B274">
            <v>0.94791666666666696</v>
          </cell>
        </row>
        <row r="275">
          <cell r="B275">
            <v>0.95138888888888895</v>
          </cell>
        </row>
        <row r="276">
          <cell r="B276">
            <v>0.95486111111111105</v>
          </cell>
        </row>
        <row r="277">
          <cell r="B277">
            <v>0.95833333333333304</v>
          </cell>
        </row>
        <row r="278">
          <cell r="B278">
            <v>0.96180555555555503</v>
          </cell>
        </row>
        <row r="279">
          <cell r="B279">
            <v>0.96527777777777801</v>
          </cell>
        </row>
        <row r="280">
          <cell r="B280">
            <v>0.96875</v>
          </cell>
        </row>
        <row r="281">
          <cell r="B281">
            <v>0.97222222222222199</v>
          </cell>
        </row>
        <row r="282">
          <cell r="B282">
            <v>0.97569444444444398</v>
          </cell>
        </row>
        <row r="283">
          <cell r="B283">
            <v>0.97916666666666696</v>
          </cell>
        </row>
        <row r="284">
          <cell r="B284">
            <v>0.98263888888888895</v>
          </cell>
        </row>
        <row r="285">
          <cell r="B285">
            <v>0.98611111111111105</v>
          </cell>
        </row>
        <row r="286">
          <cell r="B286">
            <v>0.98958333333333304</v>
          </cell>
        </row>
        <row r="287">
          <cell r="B287">
            <v>0.99305555555555503</v>
          </cell>
        </row>
        <row r="288">
          <cell r="B288">
            <v>0.99652777777777801</v>
          </cell>
        </row>
        <row r="289">
          <cell r="B289">
            <v>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Замеры (2)"/>
      <sheetName val="Вертикальная проекция"/>
      <sheetName val="Горизонтальная проекция"/>
      <sheetName val="Плановая траектория"/>
    </sheetNames>
    <sheetDataSet>
      <sheetData sheetId="0"/>
      <sheetData sheetId="1"/>
      <sheetData sheetId="2"/>
      <sheetData sheetId="3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GDU Drilling Time Details"/>
      <sheetName val="NGDU Drl Bits and Mud"/>
      <sheetName val="NGDU Completion Time Details"/>
      <sheetName val="Daily Entries"/>
      <sheetName val="Drilling Plan and Curve"/>
      <sheetName val="Problems and Actions"/>
      <sheetName val="Kill Sheet"/>
      <sheetName val="MUN"/>
      <sheetName val="Geophysical and Perfo"/>
      <sheetName val="ГРП"/>
      <sheetName val="ЭЦН"/>
      <sheetName val="ШГН"/>
      <sheetName val="Rig Audit"/>
      <sheetName val="Basic Analysis"/>
      <sheetName val="Quality Indicators"/>
      <sheetName val="Extraction"/>
      <sheetName val="Глубины ВНК"/>
      <sheetName val="Инструкции и помощь"/>
      <sheetName val="Накопит_"/>
      <sheetName val="Остановл_"/>
      <sheetName val="NGDU_Drilling_Time_Details"/>
      <sheetName val="NGDU_Drl_Bits_and_Mud"/>
      <sheetName val="NGDU_Completion_Time_Details"/>
      <sheetName val="Daily_Entries"/>
      <sheetName val="Drilling_Plan_and_Curve"/>
      <sheetName val="Problems_and_Actions"/>
      <sheetName val="Kill_Sheet"/>
      <sheetName val="Geophysical_and_Perfo"/>
      <sheetName val="Rig_Audit"/>
      <sheetName val="Basic_Analysis"/>
      <sheetName val="Quality_Indicators"/>
      <sheetName val="Глубины_ВНК"/>
      <sheetName val="Инструкции_и_помощь"/>
      <sheetName val="Drilling EOW Report 01 Mar"/>
      <sheetName val="VAR"/>
      <sheetName val="расчёт глушения"/>
      <sheetName val="Данные цели"/>
      <sheetName val="DAY"/>
      <sheetName val="Данные_цели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 refreshError="1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"/>
      <sheetName val="Акт Приёма-Сдачи"/>
      <sheetName val="Вахтовый журнал"/>
      <sheetName val="Технологический журнал"/>
      <sheetName val="Журнал-Бурения"/>
      <sheetName val="1"/>
    </sheetNames>
    <sheetDataSet>
      <sheetData sheetId="0">
        <row r="1">
          <cell r="E1" t="str">
            <v>УСТ.</v>
          </cell>
        </row>
        <row r="2">
          <cell r="E2" t="str">
            <v>РОТОР</v>
          </cell>
        </row>
        <row r="3">
          <cell r="E3" t="str">
            <v>УСТ/РОТ</v>
          </cell>
        </row>
        <row r="4">
          <cell r="E4" t="str">
            <v>РОТ/УСТ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"/>
      <sheetName val="Допустимые отклонения"/>
      <sheetName val="Технологический журнал"/>
      <sheetName val="Вахтовый журнал"/>
      <sheetName val="Журнал-Бурения"/>
      <sheetName val="14"/>
    </sheetNames>
    <sheetDataSet>
      <sheetData sheetId="0">
        <row r="1">
          <cell r="E1" t="str">
            <v>УСТ.</v>
          </cell>
        </row>
        <row r="2">
          <cell r="E2" t="str">
            <v>РОТОР</v>
          </cell>
        </row>
        <row r="3">
          <cell r="E3" t="str">
            <v>УСТ/РОТ</v>
          </cell>
        </row>
        <row r="4">
          <cell r="E4" t="str">
            <v>РОТ/УСТ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кважины"/>
      <sheetName val="Рапорта"/>
      <sheetName val="Проходка"/>
    </sheetNames>
    <sheetDataSet>
      <sheetData sheetId="0" refreshError="1"/>
      <sheetData sheetId="1" refreshError="1">
        <row r="1">
          <cell r="AG1" t="str">
            <v>Заказчик</v>
          </cell>
        </row>
        <row r="2">
          <cell r="B2" t="str">
            <v>1078</v>
          </cell>
          <cell r="E2">
            <v>4.1666666666666664E-2</v>
          </cell>
          <cell r="F2">
            <v>630</v>
          </cell>
          <cell r="AG2" t="str">
            <v>ЮНГ</v>
          </cell>
        </row>
        <row r="3">
          <cell r="AG3" t="str">
            <v>ЮНГ</v>
          </cell>
        </row>
        <row r="4">
          <cell r="AG4" t="str">
            <v>ЮНГ</v>
          </cell>
        </row>
        <row r="5">
          <cell r="AG5" t="str">
            <v>ЮНГ</v>
          </cell>
        </row>
        <row r="6">
          <cell r="AG6" t="str">
            <v>ЮНГ</v>
          </cell>
        </row>
        <row r="7">
          <cell r="AG7" t="str">
            <v>ЮНГ</v>
          </cell>
        </row>
        <row r="8">
          <cell r="AG8" t="str">
            <v>ЮНГ</v>
          </cell>
        </row>
        <row r="9">
          <cell r="AG9" t="str">
            <v>ЮНГ</v>
          </cell>
        </row>
        <row r="10">
          <cell r="AG10" t="str">
            <v>ЮНГ</v>
          </cell>
        </row>
        <row r="11">
          <cell r="AG11" t="str">
            <v>ЮНГ</v>
          </cell>
        </row>
        <row r="12">
          <cell r="AG12" t="str">
            <v>ЮНГ</v>
          </cell>
        </row>
        <row r="13">
          <cell r="AG13" t="str">
            <v>ЮНГ</v>
          </cell>
        </row>
        <row r="14">
          <cell r="AG14" t="str">
            <v>ЮНГ</v>
          </cell>
        </row>
        <row r="15">
          <cell r="AG15" t="str">
            <v>ЮНГ</v>
          </cell>
        </row>
        <row r="16">
          <cell r="AG16" t="str">
            <v>ЮНГ</v>
          </cell>
        </row>
        <row r="17">
          <cell r="AG17" t="str">
            <v>ЮНГ</v>
          </cell>
        </row>
        <row r="18">
          <cell r="AG18" t="str">
            <v>ЮНГ</v>
          </cell>
        </row>
        <row r="19">
          <cell r="AG19" t="str">
            <v>ЮНГ</v>
          </cell>
        </row>
        <row r="20">
          <cell r="AG20" t="str">
            <v>ЮНГ</v>
          </cell>
        </row>
        <row r="21">
          <cell r="AG21" t="str">
            <v>ЮНГ</v>
          </cell>
        </row>
        <row r="22">
          <cell r="AG22" t="str">
            <v>ЮНГ</v>
          </cell>
        </row>
        <row r="23">
          <cell r="AG23" t="str">
            <v>ЮНГ</v>
          </cell>
        </row>
        <row r="24">
          <cell r="AG24" t="str">
            <v>ЮНГ</v>
          </cell>
        </row>
        <row r="25">
          <cell r="AG25" t="str">
            <v>ЮНГ</v>
          </cell>
        </row>
        <row r="26">
          <cell r="AG26" t="str">
            <v>ЮНГ</v>
          </cell>
        </row>
        <row r="27">
          <cell r="AG27" t="str">
            <v>ЮНГ</v>
          </cell>
        </row>
        <row r="28">
          <cell r="AG28" t="str">
            <v>ЮНГ</v>
          </cell>
        </row>
        <row r="29">
          <cell r="AG29" t="str">
            <v>ЮНГ</v>
          </cell>
        </row>
        <row r="30">
          <cell r="AG30" t="str">
            <v>ЮНГ</v>
          </cell>
        </row>
        <row r="31">
          <cell r="AG31" t="str">
            <v>ЮНГ</v>
          </cell>
        </row>
        <row r="32">
          <cell r="AG32" t="str">
            <v>ЮНГ</v>
          </cell>
        </row>
        <row r="33">
          <cell r="AG33" t="str">
            <v>ЮНГ</v>
          </cell>
        </row>
        <row r="34">
          <cell r="AG34" t="str">
            <v>ЮНГ</v>
          </cell>
        </row>
        <row r="35">
          <cell r="AG35" t="str">
            <v>ЮНГ</v>
          </cell>
        </row>
        <row r="36">
          <cell r="AG36" t="str">
            <v>ЮНГ</v>
          </cell>
        </row>
        <row r="37">
          <cell r="AG37" t="str">
            <v>ЮНГ</v>
          </cell>
        </row>
        <row r="38">
          <cell r="AG38" t="str">
            <v>ЮНГ</v>
          </cell>
        </row>
        <row r="39">
          <cell r="AG39" t="str">
            <v>ЮНГ</v>
          </cell>
        </row>
        <row r="40">
          <cell r="AG40" t="str">
            <v>ЮНГ</v>
          </cell>
        </row>
        <row r="41">
          <cell r="AG41" t="str">
            <v>ЮНГ</v>
          </cell>
        </row>
        <row r="42">
          <cell r="AG42" t="str">
            <v>ЮНГ</v>
          </cell>
        </row>
        <row r="43">
          <cell r="AG43" t="str">
            <v>ЮНГ</v>
          </cell>
        </row>
        <row r="44">
          <cell r="AG44" t="str">
            <v>ЮНГ</v>
          </cell>
        </row>
        <row r="45">
          <cell r="AG45" t="str">
            <v>ЮНГ</v>
          </cell>
        </row>
        <row r="46">
          <cell r="AG46" t="str">
            <v>ЮНГ</v>
          </cell>
        </row>
        <row r="47">
          <cell r="AG47" t="str">
            <v>ЮНГ</v>
          </cell>
        </row>
        <row r="48">
          <cell r="AG48" t="str">
            <v>ЮНГ</v>
          </cell>
        </row>
        <row r="49">
          <cell r="AG49" t="str">
            <v>ЮНГ</v>
          </cell>
        </row>
        <row r="50">
          <cell r="AG50" t="str">
            <v>ЮНГ</v>
          </cell>
        </row>
        <row r="51">
          <cell r="AG51" t="str">
            <v>ЮНГ</v>
          </cell>
        </row>
        <row r="52">
          <cell r="AG52" t="str">
            <v>ЮНГ</v>
          </cell>
        </row>
        <row r="53">
          <cell r="AG53" t="str">
            <v>ЮНГ</v>
          </cell>
        </row>
        <row r="54">
          <cell r="AG54" t="str">
            <v>ЮНГ</v>
          </cell>
        </row>
        <row r="55">
          <cell r="AG55" t="str">
            <v>ЮНГ</v>
          </cell>
        </row>
        <row r="56">
          <cell r="AG56" t="str">
            <v>ЮНГ</v>
          </cell>
        </row>
        <row r="57">
          <cell r="AG57" t="str">
            <v>ЮНГ</v>
          </cell>
        </row>
        <row r="58">
          <cell r="AG58" t="str">
            <v>ЮНГ</v>
          </cell>
        </row>
        <row r="59">
          <cell r="AG59" t="str">
            <v>ЮНГ</v>
          </cell>
        </row>
        <row r="60">
          <cell r="AG60" t="str">
            <v>ЮНГ</v>
          </cell>
        </row>
        <row r="61">
          <cell r="AG61" t="str">
            <v>ЮНГ</v>
          </cell>
        </row>
        <row r="62">
          <cell r="AG62" t="str">
            <v>ЮНГ</v>
          </cell>
        </row>
        <row r="63">
          <cell r="AG63" t="str">
            <v>ЮНГ</v>
          </cell>
        </row>
        <row r="64">
          <cell r="AG64" t="str">
            <v>ЮНГ</v>
          </cell>
        </row>
        <row r="65">
          <cell r="AG65" t="str">
            <v>ЮНГ</v>
          </cell>
        </row>
        <row r="66">
          <cell r="AG66" t="str">
            <v>ЮНГ</v>
          </cell>
        </row>
        <row r="67">
          <cell r="AG67" t="str">
            <v>ЮНГ</v>
          </cell>
        </row>
        <row r="68">
          <cell r="AG68" t="str">
            <v>ЮНГ</v>
          </cell>
        </row>
        <row r="69">
          <cell r="AG69" t="str">
            <v>ЮНГ</v>
          </cell>
        </row>
        <row r="70">
          <cell r="AG70" t="str">
            <v>ЮНГ</v>
          </cell>
        </row>
        <row r="71">
          <cell r="AG71" t="str">
            <v>ЮНГ</v>
          </cell>
        </row>
        <row r="72">
          <cell r="AG72" t="str">
            <v>ЮНГ</v>
          </cell>
        </row>
        <row r="73">
          <cell r="AG73" t="str">
            <v>ЮНГ</v>
          </cell>
        </row>
        <row r="74">
          <cell r="AG74" t="str">
            <v>ЮНГ</v>
          </cell>
        </row>
        <row r="75">
          <cell r="AG75" t="str">
            <v>ЮНГ</v>
          </cell>
        </row>
        <row r="76">
          <cell r="AG76" t="str">
            <v>ЮНГ</v>
          </cell>
        </row>
        <row r="77">
          <cell r="AG77" t="str">
            <v>ЮНГ</v>
          </cell>
        </row>
        <row r="78">
          <cell r="AG78" t="str">
            <v>ЮНГ</v>
          </cell>
        </row>
        <row r="79">
          <cell r="AG79" t="str">
            <v>ЮНГ</v>
          </cell>
        </row>
        <row r="80">
          <cell r="AG80" t="str">
            <v>ЮНГ</v>
          </cell>
        </row>
        <row r="81">
          <cell r="AG81" t="str">
            <v>ЮНГ</v>
          </cell>
        </row>
        <row r="82">
          <cell r="AG82" t="str">
            <v>ЮНГ</v>
          </cell>
        </row>
        <row r="83">
          <cell r="AG83" t="str">
            <v>ЮНГ</v>
          </cell>
        </row>
        <row r="84">
          <cell r="AG84" t="str">
            <v>ЮНГ</v>
          </cell>
        </row>
        <row r="85">
          <cell r="AG85" t="str">
            <v>ЮНГ</v>
          </cell>
        </row>
        <row r="86">
          <cell r="AG86" t="str">
            <v>ЮНГ</v>
          </cell>
        </row>
        <row r="87">
          <cell r="AG87" t="str">
            <v>ЮНГ</v>
          </cell>
        </row>
        <row r="88">
          <cell r="AG88" t="str">
            <v>ЮНГ</v>
          </cell>
        </row>
        <row r="89">
          <cell r="AG89" t="str">
            <v>ЮНГ</v>
          </cell>
        </row>
        <row r="90">
          <cell r="AG90" t="str">
            <v>ЮНГ</v>
          </cell>
        </row>
        <row r="91">
          <cell r="AG91" t="str">
            <v>ЮНГ</v>
          </cell>
        </row>
        <row r="92">
          <cell r="AG92" t="str">
            <v>ЮНГ</v>
          </cell>
        </row>
        <row r="93">
          <cell r="AG93" t="str">
            <v>ЮНГ</v>
          </cell>
        </row>
        <row r="94">
          <cell r="AG94" t="str">
            <v>ЮНГ</v>
          </cell>
        </row>
        <row r="95">
          <cell r="AG95" t="str">
            <v>ЮНГ</v>
          </cell>
        </row>
        <row r="96">
          <cell r="AG96" t="str">
            <v>ЮНГ</v>
          </cell>
        </row>
        <row r="97">
          <cell r="AG97" t="str">
            <v>ЮНГ</v>
          </cell>
        </row>
        <row r="98">
          <cell r="AG98" t="str">
            <v>ЮНГ</v>
          </cell>
        </row>
        <row r="99">
          <cell r="AG99" t="str">
            <v>ЮНГ</v>
          </cell>
        </row>
        <row r="100">
          <cell r="AG100" t="str">
            <v>ЮНГ</v>
          </cell>
        </row>
        <row r="101">
          <cell r="AG101" t="str">
            <v>ЮНГ</v>
          </cell>
        </row>
        <row r="102">
          <cell r="AG102" t="str">
            <v>ЮНГ</v>
          </cell>
        </row>
        <row r="103">
          <cell r="AG103" t="str">
            <v>ЮНГ</v>
          </cell>
        </row>
        <row r="104">
          <cell r="AG104" t="str">
            <v>ЮНГ</v>
          </cell>
        </row>
        <row r="105">
          <cell r="AG105" t="str">
            <v>ЮНГ</v>
          </cell>
        </row>
        <row r="106">
          <cell r="AG106" t="str">
            <v>ЮНГ</v>
          </cell>
        </row>
        <row r="107">
          <cell r="AG107" t="str">
            <v>ЮНГ</v>
          </cell>
        </row>
        <row r="108">
          <cell r="AG108" t="str">
            <v>ЮНГ</v>
          </cell>
        </row>
        <row r="109">
          <cell r="AG109" t="str">
            <v>ЮНГ</v>
          </cell>
        </row>
        <row r="110">
          <cell r="AG110" t="str">
            <v>ЮНГ</v>
          </cell>
        </row>
        <row r="111">
          <cell r="AG111" t="str">
            <v>ЮНГ</v>
          </cell>
        </row>
        <row r="112">
          <cell r="AG112" t="str">
            <v>ЮНГ</v>
          </cell>
        </row>
        <row r="113">
          <cell r="AG113" t="str">
            <v>ЮНГ</v>
          </cell>
        </row>
        <row r="114">
          <cell r="AG114" t="str">
            <v>ЮНГ</v>
          </cell>
        </row>
        <row r="115">
          <cell r="AG115" t="str">
            <v>ЮНГ</v>
          </cell>
        </row>
        <row r="116">
          <cell r="AG116" t="str">
            <v>ЮНГ</v>
          </cell>
        </row>
        <row r="117">
          <cell r="AG117" t="str">
            <v>ЮНГ</v>
          </cell>
        </row>
        <row r="118">
          <cell r="AG118" t="str">
            <v>ЮНГ</v>
          </cell>
        </row>
        <row r="119">
          <cell r="AG119" t="str">
            <v>ЮНГ</v>
          </cell>
        </row>
        <row r="120">
          <cell r="AG120" t="str">
            <v>ЮНГ</v>
          </cell>
        </row>
        <row r="121">
          <cell r="AG121" t="str">
            <v>ЮНГ</v>
          </cell>
        </row>
        <row r="122">
          <cell r="AG122" t="str">
            <v>ЮНГ</v>
          </cell>
        </row>
        <row r="123">
          <cell r="AG123" t="str">
            <v>ЮНГ</v>
          </cell>
        </row>
        <row r="124">
          <cell r="AG124" t="str">
            <v>ЮНГ</v>
          </cell>
        </row>
        <row r="125">
          <cell r="AG125" t="str">
            <v>ЮНГ</v>
          </cell>
        </row>
        <row r="126">
          <cell r="AG126" t="str">
            <v>ЮНГ</v>
          </cell>
        </row>
        <row r="127">
          <cell r="AG127" t="str">
            <v>ЮНГ</v>
          </cell>
        </row>
        <row r="128">
          <cell r="AG128" t="str">
            <v>ЮНГ</v>
          </cell>
        </row>
        <row r="129">
          <cell r="AG129" t="str">
            <v>ЮНГ</v>
          </cell>
        </row>
        <row r="130">
          <cell r="AG130" t="str">
            <v>ЮНГ</v>
          </cell>
        </row>
        <row r="131">
          <cell r="AG131" t="str">
            <v>ЮНГ</v>
          </cell>
        </row>
        <row r="132">
          <cell r="AG132" t="str">
            <v>ЮНГ</v>
          </cell>
        </row>
        <row r="133">
          <cell r="AG133" t="str">
            <v>ЮНГ</v>
          </cell>
        </row>
        <row r="134">
          <cell r="AG134" t="str">
            <v>ЮНГ</v>
          </cell>
        </row>
        <row r="135">
          <cell r="AG135" t="str">
            <v>ЮНГ</v>
          </cell>
        </row>
        <row r="136">
          <cell r="AG136" t="str">
            <v>ЮНГ</v>
          </cell>
        </row>
        <row r="137">
          <cell r="AG137" t="str">
            <v>ЮНГ</v>
          </cell>
        </row>
        <row r="138">
          <cell r="AG138" t="str">
            <v>ЮНГ</v>
          </cell>
        </row>
        <row r="139">
          <cell r="AG139" t="str">
            <v>ЮНГ</v>
          </cell>
        </row>
        <row r="140">
          <cell r="AG140" t="str">
            <v>ЮНГ</v>
          </cell>
        </row>
        <row r="141">
          <cell r="AG141" t="str">
            <v>ЮНГ</v>
          </cell>
        </row>
        <row r="142">
          <cell r="AG142" t="str">
            <v>ЮНГ</v>
          </cell>
        </row>
        <row r="143">
          <cell r="AG143" t="str">
            <v>ЮНГ</v>
          </cell>
        </row>
        <row r="144">
          <cell r="AG144" t="str">
            <v>ЮНГ</v>
          </cell>
        </row>
        <row r="145">
          <cell r="AG145" t="str">
            <v>ЮНГ</v>
          </cell>
        </row>
        <row r="146">
          <cell r="AG146" t="str">
            <v>ЮНГ</v>
          </cell>
        </row>
        <row r="147">
          <cell r="AG147" t="str">
            <v>ЮНГ</v>
          </cell>
        </row>
        <row r="148">
          <cell r="AG148" t="str">
            <v>ЮНГ</v>
          </cell>
        </row>
        <row r="149">
          <cell r="AG149" t="str">
            <v>ЮНГ</v>
          </cell>
        </row>
        <row r="150">
          <cell r="AG150" t="str">
            <v>ЮНГ</v>
          </cell>
        </row>
        <row r="151">
          <cell r="AG151" t="str">
            <v>ЮНГ</v>
          </cell>
        </row>
        <row r="152">
          <cell r="AG152" t="str">
            <v>ЮНГ</v>
          </cell>
        </row>
        <row r="153">
          <cell r="AG153" t="str">
            <v>ЮНГ</v>
          </cell>
        </row>
        <row r="154">
          <cell r="AG154" t="str">
            <v>ЮНГ</v>
          </cell>
        </row>
        <row r="155">
          <cell r="AG155" t="str">
            <v>ЮНГ</v>
          </cell>
        </row>
        <row r="156">
          <cell r="AG156" t="str">
            <v>ЮНГ</v>
          </cell>
        </row>
        <row r="157">
          <cell r="AG157" t="str">
            <v>ЮНГ</v>
          </cell>
        </row>
        <row r="158">
          <cell r="AG158" t="str">
            <v>ЮНГ</v>
          </cell>
        </row>
        <row r="159">
          <cell r="AG159" t="str">
            <v>ЮНГ</v>
          </cell>
        </row>
        <row r="160">
          <cell r="AG160" t="str">
            <v>ЮНГ</v>
          </cell>
        </row>
        <row r="161">
          <cell r="AG161" t="str">
            <v>ЮНГ</v>
          </cell>
        </row>
        <row r="162">
          <cell r="AG162" t="str">
            <v>ЮНГ</v>
          </cell>
        </row>
        <row r="163">
          <cell r="AG163" t="str">
            <v>ЮНГ</v>
          </cell>
        </row>
        <row r="164">
          <cell r="AG164" t="str">
            <v>ЮНГ</v>
          </cell>
        </row>
        <row r="165">
          <cell r="AG165" t="str">
            <v>ЮНГ</v>
          </cell>
        </row>
        <row r="166">
          <cell r="AG166" t="str">
            <v>ЮНГ</v>
          </cell>
        </row>
        <row r="167">
          <cell r="AG167" t="str">
            <v>ЮНГ</v>
          </cell>
        </row>
        <row r="168">
          <cell r="AG168" t="str">
            <v>ЮНГ</v>
          </cell>
        </row>
        <row r="169">
          <cell r="AG169" t="str">
            <v>ЮНГ</v>
          </cell>
        </row>
        <row r="170">
          <cell r="AG170" t="str">
            <v>ЮНГ</v>
          </cell>
        </row>
        <row r="171">
          <cell r="AG171" t="str">
            <v>ЮНГ</v>
          </cell>
        </row>
        <row r="172">
          <cell r="AG172" t="str">
            <v>ЮНГ</v>
          </cell>
        </row>
        <row r="173">
          <cell r="AG173" t="str">
            <v>ЮНГ</v>
          </cell>
        </row>
        <row r="174">
          <cell r="AG174" t="str">
            <v>ЮНГ</v>
          </cell>
        </row>
        <row r="175">
          <cell r="AG175" t="str">
            <v>ЮНГ</v>
          </cell>
        </row>
        <row r="176">
          <cell r="AG176" t="str">
            <v>ЮНГ</v>
          </cell>
        </row>
        <row r="177">
          <cell r="AG177" t="str">
            <v>ЮНГ</v>
          </cell>
        </row>
        <row r="178">
          <cell r="AG178" t="str">
            <v>ЮНГ</v>
          </cell>
        </row>
        <row r="179">
          <cell r="AG179" t="str">
            <v>ЮНГ</v>
          </cell>
        </row>
        <row r="180">
          <cell r="AG180" t="str">
            <v>ЮНГ</v>
          </cell>
        </row>
        <row r="181">
          <cell r="AG181" t="str">
            <v>ЮНГ</v>
          </cell>
        </row>
        <row r="182">
          <cell r="AG182" t="str">
            <v>ЮНГ</v>
          </cell>
        </row>
        <row r="183">
          <cell r="AG183" t="str">
            <v>ЮНГ</v>
          </cell>
        </row>
        <row r="184">
          <cell r="AG184" t="str">
            <v>ЮНГ</v>
          </cell>
        </row>
        <row r="185">
          <cell r="AG185" t="str">
            <v>ЮНГ</v>
          </cell>
        </row>
        <row r="186">
          <cell r="AG186" t="str">
            <v>ЮНГ</v>
          </cell>
        </row>
        <row r="187">
          <cell r="AG187" t="str">
            <v>ЮНГ</v>
          </cell>
        </row>
        <row r="188">
          <cell r="AG188" t="str">
            <v>ЮНГ</v>
          </cell>
        </row>
        <row r="189">
          <cell r="AG189" t="str">
            <v>ЮНГ</v>
          </cell>
        </row>
        <row r="190">
          <cell r="AG190" t="str">
            <v>ЮНГ</v>
          </cell>
        </row>
        <row r="191">
          <cell r="AG191" t="str">
            <v>ЮНГ</v>
          </cell>
        </row>
        <row r="192">
          <cell r="AG192" t="str">
            <v>ЮНГ</v>
          </cell>
        </row>
        <row r="193">
          <cell r="AG193" t="str">
            <v>ЮНГ</v>
          </cell>
        </row>
        <row r="194">
          <cell r="AG194" t="str">
            <v>ЮНГ</v>
          </cell>
        </row>
        <row r="195">
          <cell r="AG195" t="str">
            <v>ЮНГ</v>
          </cell>
        </row>
        <row r="196">
          <cell r="AG196" t="str">
            <v>ЮНГ</v>
          </cell>
        </row>
        <row r="197">
          <cell r="AG197" t="str">
            <v>ЮНГ</v>
          </cell>
        </row>
        <row r="198">
          <cell r="AG198" t="str">
            <v>ЮНГ</v>
          </cell>
        </row>
        <row r="199">
          <cell r="AG199" t="str">
            <v>ЮНГ</v>
          </cell>
        </row>
        <row r="200">
          <cell r="AG200" t="str">
            <v>ЮНГ</v>
          </cell>
        </row>
        <row r="201">
          <cell r="AG201" t="str">
            <v>ЮНГ</v>
          </cell>
        </row>
        <row r="202">
          <cell r="AG202" t="str">
            <v>ЮНГ</v>
          </cell>
        </row>
        <row r="203">
          <cell r="AG203" t="str">
            <v>ЮНГ</v>
          </cell>
        </row>
        <row r="204">
          <cell r="AG204" t="str">
            <v>ЮНГ</v>
          </cell>
        </row>
        <row r="205">
          <cell r="AG205" t="str">
            <v>ЮНГ</v>
          </cell>
        </row>
        <row r="206">
          <cell r="AG206" t="str">
            <v>ЮНГ</v>
          </cell>
        </row>
        <row r="207">
          <cell r="AG207" t="str">
            <v>ЮНГ</v>
          </cell>
        </row>
        <row r="208">
          <cell r="AG208" t="str">
            <v>ЮНГ</v>
          </cell>
        </row>
        <row r="209">
          <cell r="AG209" t="str">
            <v>ЮНГ</v>
          </cell>
        </row>
        <row r="210">
          <cell r="AG210" t="str">
            <v>ЮНГ</v>
          </cell>
        </row>
        <row r="211">
          <cell r="AG211" t="str">
            <v>ЮНГ</v>
          </cell>
        </row>
        <row r="212">
          <cell r="AG212" t="str">
            <v>ЮНГ</v>
          </cell>
        </row>
        <row r="213">
          <cell r="AG213" t="str">
            <v>ЮНГ</v>
          </cell>
        </row>
        <row r="214">
          <cell r="AG214" t="str">
            <v>ЮНГ</v>
          </cell>
        </row>
        <row r="215">
          <cell r="AG215" t="str">
            <v>ЮНГ</v>
          </cell>
        </row>
        <row r="216">
          <cell r="AG216" t="str">
            <v>ЮНГ</v>
          </cell>
        </row>
        <row r="217">
          <cell r="AG217" t="str">
            <v>ЮНГ</v>
          </cell>
        </row>
        <row r="218">
          <cell r="AG218" t="str">
            <v>ЮНГ</v>
          </cell>
        </row>
        <row r="219">
          <cell r="AG219" t="str">
            <v>ЮНГ</v>
          </cell>
        </row>
        <row r="220">
          <cell r="AG220" t="str">
            <v>ЮНГ</v>
          </cell>
        </row>
        <row r="221">
          <cell r="AG221" t="str">
            <v>ЮНГ</v>
          </cell>
        </row>
        <row r="222">
          <cell r="AG222" t="str">
            <v>ЮНГ</v>
          </cell>
        </row>
        <row r="223">
          <cell r="AG223" t="str">
            <v>ЮНГ</v>
          </cell>
        </row>
        <row r="224">
          <cell r="AG224" t="str">
            <v>ЮНГ</v>
          </cell>
        </row>
        <row r="225">
          <cell r="AG225" t="str">
            <v>ЮНГ</v>
          </cell>
        </row>
        <row r="226">
          <cell r="AG226" t="str">
            <v>ЮНГ</v>
          </cell>
        </row>
        <row r="227">
          <cell r="AG227" t="str">
            <v>ЮНГ</v>
          </cell>
        </row>
        <row r="228">
          <cell r="AG228" t="str">
            <v>ЮНГ</v>
          </cell>
        </row>
        <row r="229">
          <cell r="AG229" t="str">
            <v>ЮНГ</v>
          </cell>
        </row>
        <row r="230">
          <cell r="AG230" t="str">
            <v>ЮНГ</v>
          </cell>
        </row>
        <row r="231">
          <cell r="AG231" t="str">
            <v>ЮНГ</v>
          </cell>
        </row>
        <row r="232">
          <cell r="AG232" t="str">
            <v>ЮНГ</v>
          </cell>
        </row>
        <row r="233">
          <cell r="AG233" t="str">
            <v>ЮНГ</v>
          </cell>
        </row>
        <row r="234">
          <cell r="AG234" t="str">
            <v>ЮНГ</v>
          </cell>
        </row>
        <row r="235">
          <cell r="AG235" t="str">
            <v>ЮНГ</v>
          </cell>
        </row>
        <row r="236">
          <cell r="AG236" t="str">
            <v>ЮНГ</v>
          </cell>
        </row>
        <row r="237">
          <cell r="AG237" t="str">
            <v>ЮНГ</v>
          </cell>
        </row>
        <row r="238">
          <cell r="AG238" t="str">
            <v>ЮНГ</v>
          </cell>
        </row>
        <row r="239">
          <cell r="AG239" t="str">
            <v>ЮНГ</v>
          </cell>
        </row>
        <row r="240">
          <cell r="AG240" t="str">
            <v>ЮНГ</v>
          </cell>
        </row>
        <row r="241">
          <cell r="AG241" t="str">
            <v>ЮНГ</v>
          </cell>
        </row>
        <row r="242">
          <cell r="AG242" t="str">
            <v>ЮНГ</v>
          </cell>
        </row>
        <row r="243">
          <cell r="AG243" t="str">
            <v>ЮНГ</v>
          </cell>
        </row>
        <row r="244">
          <cell r="AG244" t="str">
            <v>ЮНГ</v>
          </cell>
        </row>
        <row r="245">
          <cell r="AG245" t="str">
            <v>ЮНГ</v>
          </cell>
        </row>
        <row r="246">
          <cell r="AG246" t="str">
            <v>ЮНГ</v>
          </cell>
        </row>
        <row r="247">
          <cell r="AG247" t="str">
            <v>ЮНГ</v>
          </cell>
        </row>
        <row r="248">
          <cell r="AG248" t="str">
            <v>ЮНГ</v>
          </cell>
        </row>
        <row r="249">
          <cell r="AG249" t="str">
            <v>ЮНГ</v>
          </cell>
        </row>
        <row r="250">
          <cell r="AG250" t="str">
            <v>ЮНГ</v>
          </cell>
        </row>
        <row r="251">
          <cell r="AG251" t="str">
            <v>ЮНГ</v>
          </cell>
        </row>
        <row r="252">
          <cell r="AG252" t="str">
            <v>ЮНГ</v>
          </cell>
        </row>
        <row r="253">
          <cell r="AG253" t="str">
            <v>ЮНГ</v>
          </cell>
        </row>
        <row r="254">
          <cell r="AG254" t="str">
            <v>ЮНГ</v>
          </cell>
        </row>
        <row r="255">
          <cell r="AG255" t="str">
            <v>ЮНГ</v>
          </cell>
        </row>
        <row r="256">
          <cell r="AG256" t="str">
            <v>ЮНГ</v>
          </cell>
        </row>
        <row r="257">
          <cell r="AG257" t="str">
            <v>ЮНГ</v>
          </cell>
        </row>
        <row r="258">
          <cell r="AG258" t="str">
            <v>ЮНГ</v>
          </cell>
        </row>
        <row r="259">
          <cell r="AG259" t="str">
            <v>ЮНГ</v>
          </cell>
        </row>
        <row r="260">
          <cell r="AG260" t="str">
            <v>ЮНГ</v>
          </cell>
        </row>
        <row r="261">
          <cell r="AG261" t="str">
            <v>ЮНГ</v>
          </cell>
        </row>
        <row r="262">
          <cell r="AG262" t="str">
            <v>ЮНГ</v>
          </cell>
        </row>
        <row r="263">
          <cell r="AG263" t="str">
            <v>ЮНГ</v>
          </cell>
        </row>
        <row r="264">
          <cell r="AG264" t="str">
            <v>ЮНГ</v>
          </cell>
        </row>
        <row r="265">
          <cell r="AG265" t="str">
            <v>ЮНГ</v>
          </cell>
        </row>
        <row r="266">
          <cell r="AG266" t="str">
            <v>ЮНГ</v>
          </cell>
        </row>
        <row r="267">
          <cell r="AG267" t="str">
            <v>ЮНГ</v>
          </cell>
        </row>
        <row r="268">
          <cell r="AG268" t="str">
            <v>ЮНГ</v>
          </cell>
        </row>
        <row r="269">
          <cell r="AG269" t="str">
            <v>ЮНГ</v>
          </cell>
        </row>
        <row r="270">
          <cell r="AG270" t="str">
            <v>ЮНГ</v>
          </cell>
        </row>
        <row r="271">
          <cell r="AG271" t="str">
            <v>ЮНГ</v>
          </cell>
        </row>
        <row r="272">
          <cell r="AG272" t="str">
            <v>ЮНГ</v>
          </cell>
        </row>
        <row r="273">
          <cell r="AG273" t="str">
            <v>ЮНГ</v>
          </cell>
        </row>
        <row r="274">
          <cell r="AG274" t="str">
            <v>ЮНГ</v>
          </cell>
        </row>
        <row r="275">
          <cell r="AG275" t="str">
            <v>ЮНГ</v>
          </cell>
        </row>
        <row r="276">
          <cell r="AG276" t="str">
            <v>ЮНГ</v>
          </cell>
        </row>
        <row r="277">
          <cell r="AG277" t="str">
            <v>ЮНГ</v>
          </cell>
        </row>
        <row r="278">
          <cell r="AG278" t="str">
            <v>ЮНГ</v>
          </cell>
        </row>
        <row r="279">
          <cell r="AG279" t="str">
            <v>ЮНГ</v>
          </cell>
        </row>
        <row r="280">
          <cell r="AG280" t="str">
            <v>ЮНГ</v>
          </cell>
        </row>
        <row r="281">
          <cell r="AG281" t="str">
            <v>ЮНГ</v>
          </cell>
        </row>
        <row r="282">
          <cell r="AG282" t="str">
            <v>ЮНГ</v>
          </cell>
        </row>
        <row r="283">
          <cell r="AG283" t="str">
            <v>ЮНГ</v>
          </cell>
        </row>
        <row r="284">
          <cell r="AG284" t="str">
            <v>ЮНГ</v>
          </cell>
        </row>
        <row r="285">
          <cell r="AG285" t="str">
            <v>ЮНГ</v>
          </cell>
        </row>
        <row r="286">
          <cell r="AG286" t="str">
            <v>ЮНГ</v>
          </cell>
        </row>
        <row r="287">
          <cell r="AG287" t="str">
            <v>ЮНГ</v>
          </cell>
        </row>
        <row r="288">
          <cell r="AG288" t="str">
            <v>ЮНГ</v>
          </cell>
        </row>
        <row r="289">
          <cell r="AG289" t="str">
            <v>ЮНГ</v>
          </cell>
        </row>
        <row r="290">
          <cell r="AG290" t="str">
            <v>ЮНГ</v>
          </cell>
        </row>
        <row r="291">
          <cell r="AG291" t="str">
            <v>ЮНГ</v>
          </cell>
        </row>
        <row r="292">
          <cell r="AG292" t="str">
            <v>ЮНГ</v>
          </cell>
        </row>
        <row r="293">
          <cell r="AG293" t="str">
            <v>ЮНГ</v>
          </cell>
        </row>
        <row r="294">
          <cell r="AG294" t="str">
            <v>ЮНГ</v>
          </cell>
        </row>
        <row r="295">
          <cell r="AG295" t="str">
            <v>ЮНГ</v>
          </cell>
        </row>
        <row r="296">
          <cell r="AG296" t="str">
            <v>ЮНГ</v>
          </cell>
        </row>
        <row r="297">
          <cell r="AG297" t="str">
            <v>ЮНГ</v>
          </cell>
        </row>
        <row r="298">
          <cell r="AG298" t="str">
            <v>ЮНГ</v>
          </cell>
        </row>
        <row r="299">
          <cell r="AG299" t="str">
            <v>ЮНГ</v>
          </cell>
        </row>
        <row r="300">
          <cell r="AG300" t="str">
            <v>ЮНГ</v>
          </cell>
        </row>
        <row r="301">
          <cell r="AG301" t="str">
            <v>ЮНГ</v>
          </cell>
        </row>
        <row r="302">
          <cell r="AG302" t="str">
            <v>ЮНГ</v>
          </cell>
        </row>
        <row r="303">
          <cell r="AG303" t="str">
            <v>ЮНГ</v>
          </cell>
        </row>
        <row r="304">
          <cell r="AG304" t="str">
            <v>ЮНГ</v>
          </cell>
        </row>
        <row r="305">
          <cell r="AG305" t="str">
            <v>ЮНГ</v>
          </cell>
        </row>
        <row r="306">
          <cell r="AG306" t="str">
            <v>ЮНГ</v>
          </cell>
        </row>
        <row r="307">
          <cell r="AG307" t="str">
            <v>ЮНГ</v>
          </cell>
        </row>
        <row r="308">
          <cell r="AG308" t="str">
            <v>ЮНГ</v>
          </cell>
        </row>
        <row r="309">
          <cell r="AG309" t="str">
            <v>ЮНГ</v>
          </cell>
        </row>
        <row r="310">
          <cell r="AG310" t="str">
            <v>ЮНГ</v>
          </cell>
        </row>
        <row r="311">
          <cell r="AG311" t="str">
            <v>ЮНГ</v>
          </cell>
        </row>
        <row r="312">
          <cell r="AG312" t="str">
            <v>ЮНГ</v>
          </cell>
        </row>
        <row r="313">
          <cell r="AG313" t="str">
            <v>ЮНГ</v>
          </cell>
        </row>
        <row r="314">
          <cell r="AG314" t="str">
            <v>ЮНГ</v>
          </cell>
        </row>
        <row r="315">
          <cell r="AG315" t="str">
            <v>ЮНГ</v>
          </cell>
        </row>
        <row r="316">
          <cell r="AG316" t="str">
            <v>ЮНГ</v>
          </cell>
        </row>
        <row r="317">
          <cell r="AG317" t="str">
            <v>ЮНГ</v>
          </cell>
        </row>
        <row r="318">
          <cell r="AG318" t="str">
            <v>ЮНГ</v>
          </cell>
        </row>
        <row r="319">
          <cell r="AG319" t="str">
            <v>ЮНГ</v>
          </cell>
        </row>
        <row r="320">
          <cell r="AG320" t="str">
            <v>ЮНГ</v>
          </cell>
        </row>
        <row r="321">
          <cell r="AG321" t="str">
            <v>ЮНГ</v>
          </cell>
        </row>
        <row r="322">
          <cell r="AG322" t="str">
            <v>ЮНГ</v>
          </cell>
        </row>
        <row r="323">
          <cell r="AG323" t="str">
            <v>ЮНГ</v>
          </cell>
        </row>
        <row r="324">
          <cell r="AG324" t="str">
            <v>ЮНГ</v>
          </cell>
        </row>
        <row r="325">
          <cell r="AG325" t="str">
            <v>ЮНГ</v>
          </cell>
        </row>
        <row r="326">
          <cell r="AG326" t="str">
            <v>ЮНГ</v>
          </cell>
        </row>
        <row r="327">
          <cell r="AG327" t="str">
            <v>ЮНГ</v>
          </cell>
        </row>
        <row r="328">
          <cell r="AG328" t="str">
            <v>ЮНГ</v>
          </cell>
        </row>
        <row r="329">
          <cell r="AG329" t="str">
            <v>ЮНГ</v>
          </cell>
        </row>
        <row r="330">
          <cell r="AG330" t="str">
            <v>ЮНГ</v>
          </cell>
        </row>
        <row r="331">
          <cell r="AG331" t="str">
            <v>ЮНГ</v>
          </cell>
        </row>
        <row r="332">
          <cell r="AG332" t="str">
            <v>ЮНГ</v>
          </cell>
        </row>
        <row r="333">
          <cell r="AG333" t="str">
            <v>ЮНГ</v>
          </cell>
        </row>
        <row r="334">
          <cell r="AG334" t="str">
            <v>ЮНГ</v>
          </cell>
        </row>
        <row r="335">
          <cell r="AG335" t="str">
            <v>ЮНГ</v>
          </cell>
        </row>
        <row r="336">
          <cell r="AG336" t="str">
            <v>ЮНГ</v>
          </cell>
        </row>
        <row r="337">
          <cell r="AG337" t="str">
            <v>ЮНГ</v>
          </cell>
        </row>
        <row r="338">
          <cell r="AG338" t="str">
            <v>ЮНГ</v>
          </cell>
        </row>
        <row r="339">
          <cell r="AG339" t="str">
            <v>ЮНГ</v>
          </cell>
        </row>
        <row r="340">
          <cell r="AG340" t="str">
            <v>ЮНГ</v>
          </cell>
        </row>
        <row r="341">
          <cell r="AG341" t="str">
            <v>ЮНГ</v>
          </cell>
        </row>
        <row r="342">
          <cell r="AG342" t="str">
            <v>ЮНГ</v>
          </cell>
        </row>
        <row r="343">
          <cell r="AG343" t="str">
            <v>ЮНГ</v>
          </cell>
        </row>
        <row r="344">
          <cell r="AG344" t="str">
            <v>ЮНГ</v>
          </cell>
        </row>
        <row r="345">
          <cell r="AG345" t="str">
            <v>ЮНГ</v>
          </cell>
        </row>
        <row r="346">
          <cell r="AG346" t="str">
            <v>ЮНГ</v>
          </cell>
        </row>
        <row r="347">
          <cell r="AG347" t="str">
            <v>ЮНГ</v>
          </cell>
        </row>
        <row r="348">
          <cell r="AG348" t="str">
            <v>ЮНГ</v>
          </cell>
        </row>
        <row r="349">
          <cell r="AG349" t="str">
            <v>ЮНГ</v>
          </cell>
        </row>
        <row r="350">
          <cell r="AG350" t="str">
            <v>ЮНГ</v>
          </cell>
        </row>
        <row r="351">
          <cell r="AG351" t="str">
            <v>ЮНГ</v>
          </cell>
        </row>
        <row r="352">
          <cell r="AG352" t="str">
            <v>ЮНГ</v>
          </cell>
        </row>
        <row r="353">
          <cell r="AG353" t="str">
            <v>ЮНГ</v>
          </cell>
        </row>
        <row r="354">
          <cell r="AG354" t="str">
            <v>ЮНГ</v>
          </cell>
        </row>
        <row r="355">
          <cell r="AG355" t="str">
            <v>ЮНГ</v>
          </cell>
        </row>
        <row r="356">
          <cell r="AG356" t="str">
            <v>ЮНГ</v>
          </cell>
        </row>
        <row r="357">
          <cell r="AG357" t="str">
            <v>ЮНГ</v>
          </cell>
        </row>
        <row r="358">
          <cell r="AG358" t="str">
            <v>ЮНГ</v>
          </cell>
        </row>
        <row r="359">
          <cell r="AG359" t="str">
            <v>ЮНГ</v>
          </cell>
        </row>
        <row r="360">
          <cell r="AG360" t="str">
            <v>ЮНГ</v>
          </cell>
        </row>
        <row r="361">
          <cell r="AG361" t="str">
            <v>ЮНГ</v>
          </cell>
        </row>
        <row r="362">
          <cell r="AG362" t="str">
            <v>ЮНГ</v>
          </cell>
        </row>
        <row r="363">
          <cell r="AG363" t="str">
            <v>ЮНГ</v>
          </cell>
        </row>
        <row r="364">
          <cell r="AG364" t="str">
            <v>ЮНГ</v>
          </cell>
        </row>
        <row r="365">
          <cell r="AG365" t="str">
            <v>ЮНГ</v>
          </cell>
        </row>
        <row r="366">
          <cell r="AG366" t="str">
            <v>ЮНГ</v>
          </cell>
        </row>
        <row r="367">
          <cell r="AG367" t="str">
            <v>ЮНГ</v>
          </cell>
        </row>
        <row r="368">
          <cell r="AG368" t="str">
            <v>ЮНГ</v>
          </cell>
        </row>
        <row r="369">
          <cell r="AG369" t="str">
            <v>ЮНГ</v>
          </cell>
        </row>
        <row r="370">
          <cell r="AG370" t="str">
            <v>ЮНГ</v>
          </cell>
        </row>
        <row r="371">
          <cell r="AG371" t="str">
            <v>ЮНГ</v>
          </cell>
        </row>
        <row r="372">
          <cell r="AG372" t="str">
            <v>ЮНГ</v>
          </cell>
        </row>
        <row r="373">
          <cell r="AG373" t="str">
            <v>ЮНГ</v>
          </cell>
        </row>
        <row r="374">
          <cell r="AG374" t="str">
            <v>ЮНГ</v>
          </cell>
        </row>
        <row r="375">
          <cell r="AG375" t="str">
            <v>ЮНГ</v>
          </cell>
        </row>
        <row r="376">
          <cell r="AG376" t="str">
            <v>ЮНГ</v>
          </cell>
        </row>
        <row r="377">
          <cell r="AG377" t="str">
            <v>ЮНГ</v>
          </cell>
        </row>
        <row r="378">
          <cell r="AG378" t="str">
            <v>ЮНГ</v>
          </cell>
        </row>
        <row r="379">
          <cell r="AG379" t="str">
            <v>ЮНГ</v>
          </cell>
        </row>
        <row r="380">
          <cell r="AG380" t="str">
            <v>ЮНГ</v>
          </cell>
        </row>
        <row r="381">
          <cell r="AG381" t="str">
            <v>ЮНГ</v>
          </cell>
        </row>
        <row r="382">
          <cell r="AG382" t="str">
            <v>ЮНГ</v>
          </cell>
        </row>
        <row r="383">
          <cell r="AG383" t="str">
            <v>ЮНГ</v>
          </cell>
        </row>
        <row r="384">
          <cell r="AG384" t="str">
            <v>ЮНГ</v>
          </cell>
        </row>
        <row r="385">
          <cell r="AG385" t="str">
            <v>ЮНГ</v>
          </cell>
        </row>
        <row r="386">
          <cell r="AG386" t="str">
            <v>ЮНГ</v>
          </cell>
        </row>
        <row r="387">
          <cell r="AG387" t="str">
            <v>ЮНГ</v>
          </cell>
        </row>
        <row r="388">
          <cell r="AG388" t="str">
            <v>ЮНГ</v>
          </cell>
        </row>
        <row r="389">
          <cell r="AG389" t="str">
            <v>ЮНГ</v>
          </cell>
        </row>
        <row r="390">
          <cell r="AG390" t="str">
            <v>ЮНГ</v>
          </cell>
        </row>
        <row r="391">
          <cell r="AG391" t="str">
            <v>ЮНГ</v>
          </cell>
        </row>
        <row r="392">
          <cell r="AG392" t="str">
            <v>ЮНГ</v>
          </cell>
        </row>
        <row r="393">
          <cell r="AG393" t="str">
            <v>ЮНГ</v>
          </cell>
        </row>
        <row r="394">
          <cell r="AG394" t="str">
            <v>ЮНГ</v>
          </cell>
        </row>
        <row r="395">
          <cell r="AG395" t="str">
            <v>ЮНГ</v>
          </cell>
        </row>
        <row r="396">
          <cell r="AG396" t="str">
            <v>ЮНГ</v>
          </cell>
        </row>
        <row r="397">
          <cell r="AG397" t="str">
            <v>ЮНГ</v>
          </cell>
        </row>
        <row r="398">
          <cell r="AG398" t="str">
            <v>ЮНГ</v>
          </cell>
        </row>
        <row r="399">
          <cell r="AG399" t="str">
            <v>ЮНГ</v>
          </cell>
        </row>
        <row r="400">
          <cell r="AG400" t="str">
            <v>ЮНГ</v>
          </cell>
        </row>
        <row r="401">
          <cell r="AG401" t="str">
            <v>ЮНГ</v>
          </cell>
        </row>
        <row r="402">
          <cell r="AG402" t="str">
            <v>ЮНГ</v>
          </cell>
        </row>
        <row r="403">
          <cell r="AG403" t="str">
            <v>ЮНГ</v>
          </cell>
        </row>
        <row r="404">
          <cell r="AG404" t="str">
            <v>ЮНГ</v>
          </cell>
        </row>
        <row r="405">
          <cell r="AG405" t="str">
            <v>ЮНГ</v>
          </cell>
        </row>
        <row r="406">
          <cell r="AG406" t="str">
            <v>ЮНГ</v>
          </cell>
        </row>
        <row r="407">
          <cell r="AG407" t="str">
            <v>ЮНГ</v>
          </cell>
        </row>
        <row r="408">
          <cell r="AG408" t="str">
            <v>ЮНГ</v>
          </cell>
        </row>
        <row r="409">
          <cell r="AG409" t="str">
            <v>ЮНГ</v>
          </cell>
        </row>
        <row r="410">
          <cell r="AG410" t="str">
            <v>ЮНГ</v>
          </cell>
        </row>
        <row r="411">
          <cell r="AG411" t="str">
            <v>ЮНГ</v>
          </cell>
        </row>
        <row r="412">
          <cell r="AG412" t="str">
            <v>ЮНГ</v>
          </cell>
        </row>
        <row r="413">
          <cell r="AG413" t="str">
            <v>ЮНГ</v>
          </cell>
        </row>
        <row r="414">
          <cell r="AG414" t="str">
            <v>ЮНГ</v>
          </cell>
        </row>
        <row r="415">
          <cell r="AG415" t="str">
            <v>ЮНГ</v>
          </cell>
        </row>
        <row r="416">
          <cell r="AG416" t="str">
            <v>ЮНГ</v>
          </cell>
        </row>
        <row r="417">
          <cell r="AG417" t="str">
            <v>ЮНГ</v>
          </cell>
        </row>
        <row r="418">
          <cell r="AG418" t="str">
            <v>ЮНГ</v>
          </cell>
        </row>
        <row r="419">
          <cell r="AG419" t="str">
            <v>ЮНГ</v>
          </cell>
        </row>
        <row r="420">
          <cell r="AG420" t="str">
            <v>ЮНГ</v>
          </cell>
        </row>
        <row r="421">
          <cell r="AG421" t="str">
            <v>ЮНГ</v>
          </cell>
        </row>
        <row r="422">
          <cell r="AG422" t="str">
            <v>ЮНГ</v>
          </cell>
        </row>
        <row r="423">
          <cell r="AG423" t="str">
            <v>ЮНГ</v>
          </cell>
        </row>
        <row r="424">
          <cell r="AG424" t="str">
            <v>ЮНГ</v>
          </cell>
        </row>
        <row r="425">
          <cell r="AG425" t="str">
            <v>ЮНГ</v>
          </cell>
        </row>
        <row r="426">
          <cell r="AG426" t="str">
            <v>ЮНГ</v>
          </cell>
        </row>
        <row r="427">
          <cell r="AG427" t="str">
            <v>ЮНГ</v>
          </cell>
        </row>
        <row r="428">
          <cell r="AG428" t="str">
            <v>ЮНГ</v>
          </cell>
        </row>
        <row r="429">
          <cell r="AG429" t="str">
            <v>ЮНГ</v>
          </cell>
        </row>
        <row r="430">
          <cell r="AG430" t="str">
            <v>ЮНГ</v>
          </cell>
        </row>
        <row r="431">
          <cell r="AG431" t="str">
            <v>ЮНГ</v>
          </cell>
        </row>
        <row r="432">
          <cell r="AG432" t="str">
            <v>ЮНГ</v>
          </cell>
        </row>
        <row r="433">
          <cell r="AG433" t="str">
            <v>ЮНГ</v>
          </cell>
        </row>
        <row r="434">
          <cell r="AG434" t="str">
            <v>ЮНГ</v>
          </cell>
        </row>
        <row r="435">
          <cell r="AG435" t="str">
            <v>ЮНГ</v>
          </cell>
        </row>
        <row r="436">
          <cell r="AG436" t="str">
            <v>ЮНГ</v>
          </cell>
        </row>
        <row r="437">
          <cell r="AG437" t="str">
            <v>ЮНГ</v>
          </cell>
        </row>
        <row r="438">
          <cell r="AG438" t="str">
            <v>ЮНГ</v>
          </cell>
        </row>
        <row r="439">
          <cell r="AG439" t="str">
            <v>ЮНГ</v>
          </cell>
        </row>
        <row r="440">
          <cell r="AG440" t="str">
            <v>ЮНГ</v>
          </cell>
        </row>
        <row r="441">
          <cell r="AG441" t="str">
            <v>ЮНГ</v>
          </cell>
        </row>
        <row r="442">
          <cell r="AG442" t="str">
            <v>ЮНГ</v>
          </cell>
        </row>
        <row r="443">
          <cell r="AG443" t="str">
            <v>ЮНГ</v>
          </cell>
        </row>
        <row r="444">
          <cell r="AG444" t="str">
            <v>ЮНГ</v>
          </cell>
        </row>
        <row r="445">
          <cell r="AG445" t="str">
            <v>ЮНГ</v>
          </cell>
        </row>
        <row r="446">
          <cell r="AG446" t="str">
            <v>ЮНГ</v>
          </cell>
        </row>
        <row r="447">
          <cell r="AG447" t="str">
            <v>ЮНГ</v>
          </cell>
        </row>
        <row r="448">
          <cell r="AG448" t="str">
            <v>ЮНГ</v>
          </cell>
        </row>
        <row r="449">
          <cell r="AG449" t="str">
            <v>ЮНГ</v>
          </cell>
        </row>
        <row r="450">
          <cell r="AG450" t="str">
            <v>ЮНГ</v>
          </cell>
        </row>
        <row r="451">
          <cell r="AG451" t="str">
            <v>ЮНГ</v>
          </cell>
        </row>
        <row r="452">
          <cell r="AG452" t="str">
            <v>ЮНГ</v>
          </cell>
        </row>
        <row r="453">
          <cell r="AG453" t="str">
            <v>ЮНГ</v>
          </cell>
        </row>
        <row r="454">
          <cell r="AG454" t="str">
            <v>ЮНГ</v>
          </cell>
        </row>
        <row r="455">
          <cell r="AG455" t="str">
            <v>ЮНГ</v>
          </cell>
        </row>
        <row r="456">
          <cell r="AG456" t="str">
            <v>ЮНГ</v>
          </cell>
        </row>
        <row r="457">
          <cell r="AG457" t="str">
            <v>ЮНГ</v>
          </cell>
        </row>
        <row r="458">
          <cell r="AG458" t="str">
            <v>ЮНГ</v>
          </cell>
        </row>
        <row r="459">
          <cell r="AG459" t="str">
            <v>ЮНГ</v>
          </cell>
        </row>
        <row r="460">
          <cell r="AG460" t="str">
            <v>ЮНГ</v>
          </cell>
        </row>
        <row r="461">
          <cell r="AG461" t="str">
            <v>ЮНГ</v>
          </cell>
        </row>
        <row r="462">
          <cell r="AG462" t="str">
            <v>ЮНГ</v>
          </cell>
        </row>
        <row r="463">
          <cell r="AG463" t="str">
            <v>ЮНГ</v>
          </cell>
        </row>
        <row r="464">
          <cell r="AG464" t="str">
            <v>ЮНГ</v>
          </cell>
        </row>
        <row r="465">
          <cell r="AG465" t="str">
            <v>ЮНГ</v>
          </cell>
        </row>
        <row r="466">
          <cell r="AG466" t="str">
            <v>ЮНГ</v>
          </cell>
        </row>
        <row r="467">
          <cell r="AG467" t="str">
            <v>ЮНГ</v>
          </cell>
        </row>
        <row r="468">
          <cell r="AG468" t="str">
            <v>ЮНГ</v>
          </cell>
        </row>
        <row r="469">
          <cell r="AG469" t="str">
            <v>ЮНГ</v>
          </cell>
        </row>
        <row r="470">
          <cell r="AG470" t="str">
            <v>ЮНГ</v>
          </cell>
        </row>
        <row r="471">
          <cell r="AG471" t="str">
            <v>ЮНГ</v>
          </cell>
        </row>
        <row r="472">
          <cell r="AG472" t="str">
            <v>ЮНГ</v>
          </cell>
        </row>
        <row r="473">
          <cell r="AG473" t="str">
            <v>ЮНГ</v>
          </cell>
        </row>
        <row r="474">
          <cell r="AG474" t="str">
            <v>ЮНГ</v>
          </cell>
        </row>
        <row r="475">
          <cell r="AG475" t="str">
            <v>ЮНГ</v>
          </cell>
        </row>
        <row r="476">
          <cell r="AG476" t="str">
            <v>ЮНГ</v>
          </cell>
        </row>
        <row r="477">
          <cell r="AG477" t="str">
            <v>ЮНГ</v>
          </cell>
        </row>
        <row r="478">
          <cell r="AG478" t="str">
            <v>ЮНГ</v>
          </cell>
        </row>
        <row r="479">
          <cell r="AG479" t="str">
            <v>ЮНГ</v>
          </cell>
        </row>
        <row r="480">
          <cell r="AG480" t="str">
            <v>ЮНГ</v>
          </cell>
        </row>
        <row r="481">
          <cell r="AG481" t="str">
            <v>ЮНГ</v>
          </cell>
        </row>
        <row r="482">
          <cell r="AG482" t="str">
            <v>ЮНГ</v>
          </cell>
        </row>
        <row r="483">
          <cell r="AG483" t="str">
            <v>ЮНГ</v>
          </cell>
        </row>
        <row r="484">
          <cell r="AG484" t="str">
            <v>ЮНГ</v>
          </cell>
        </row>
        <row r="485">
          <cell r="AG485" t="str">
            <v>ЮНГ</v>
          </cell>
        </row>
        <row r="486">
          <cell r="AG486" t="str">
            <v>ЮНГ</v>
          </cell>
        </row>
        <row r="487">
          <cell r="AG487" t="str">
            <v>ЮНГ</v>
          </cell>
        </row>
        <row r="488">
          <cell r="AG488" t="str">
            <v>ЮНГ</v>
          </cell>
        </row>
        <row r="489">
          <cell r="AG489" t="str">
            <v>ЮНГ</v>
          </cell>
        </row>
        <row r="490">
          <cell r="AG490" t="str">
            <v>ЮНГ</v>
          </cell>
        </row>
        <row r="491">
          <cell r="AG491" t="str">
            <v>ЮНГ</v>
          </cell>
        </row>
        <row r="492">
          <cell r="AG492" t="str">
            <v>ЮНГ</v>
          </cell>
        </row>
        <row r="493">
          <cell r="AG493" t="str">
            <v>ЮНГ</v>
          </cell>
        </row>
        <row r="494">
          <cell r="AG494" t="str">
            <v>ЮНГ</v>
          </cell>
        </row>
        <row r="495">
          <cell r="AG495" t="str">
            <v>ЮНГ</v>
          </cell>
        </row>
        <row r="496">
          <cell r="AG496" t="str">
            <v>ЮНГ</v>
          </cell>
        </row>
        <row r="497">
          <cell r="AG497" t="str">
            <v>ЮНГ</v>
          </cell>
        </row>
        <row r="498">
          <cell r="AG498" t="str">
            <v>ЮНГ</v>
          </cell>
        </row>
        <row r="499">
          <cell r="AG499" t="str">
            <v>ЮНГ</v>
          </cell>
        </row>
        <row r="500">
          <cell r="AG500" t="str">
            <v>ЮНГ</v>
          </cell>
        </row>
        <row r="501">
          <cell r="AG501" t="str">
            <v>ЮНГ</v>
          </cell>
        </row>
        <row r="502">
          <cell r="AG502" t="str">
            <v>ЮНГ</v>
          </cell>
        </row>
        <row r="503">
          <cell r="AG503" t="str">
            <v>ЮНГ</v>
          </cell>
        </row>
        <row r="504">
          <cell r="AG504" t="str">
            <v>ЮНГ</v>
          </cell>
        </row>
        <row r="505">
          <cell r="AG505" t="str">
            <v>ЮНГ</v>
          </cell>
        </row>
        <row r="506">
          <cell r="AG506" t="str">
            <v>ЮНГ</v>
          </cell>
        </row>
        <row r="507">
          <cell r="AG507" t="str">
            <v>ЮНГ</v>
          </cell>
        </row>
        <row r="508">
          <cell r="AG508" t="str">
            <v>ЮНГ</v>
          </cell>
        </row>
        <row r="509">
          <cell r="AG509" t="str">
            <v>ЮНГ</v>
          </cell>
        </row>
        <row r="510">
          <cell r="AG510" t="str">
            <v>ЮНГ</v>
          </cell>
        </row>
        <row r="511">
          <cell r="AG511" t="str">
            <v>ЮНГ</v>
          </cell>
        </row>
        <row r="512">
          <cell r="AG512" t="str">
            <v>ЮНГ</v>
          </cell>
        </row>
        <row r="513">
          <cell r="AG513" t="str">
            <v>ЮНГ</v>
          </cell>
        </row>
        <row r="514">
          <cell r="AG514" t="str">
            <v>ЮНГ</v>
          </cell>
        </row>
        <row r="515">
          <cell r="AG515" t="str">
            <v>ЮНГ</v>
          </cell>
        </row>
        <row r="516">
          <cell r="AG516" t="str">
            <v>ЮНГ</v>
          </cell>
        </row>
        <row r="517">
          <cell r="AG517" t="str">
            <v>ЮНГ</v>
          </cell>
        </row>
        <row r="518">
          <cell r="AG518" t="str">
            <v>ЮНГ</v>
          </cell>
        </row>
        <row r="519">
          <cell r="AG519" t="str">
            <v>ЮНГ</v>
          </cell>
        </row>
        <row r="520">
          <cell r="AG520" t="str">
            <v>ЮНГ</v>
          </cell>
        </row>
        <row r="521">
          <cell r="AG521" t="str">
            <v>ЮНГ</v>
          </cell>
        </row>
        <row r="522">
          <cell r="AG522" t="str">
            <v>ЮНГ</v>
          </cell>
        </row>
        <row r="523">
          <cell r="AG523" t="str">
            <v>ЮНГ</v>
          </cell>
        </row>
        <row r="524">
          <cell r="AG524" t="str">
            <v>ЮНГ</v>
          </cell>
        </row>
        <row r="525">
          <cell r="AG525" t="str">
            <v>ЮНГ</v>
          </cell>
        </row>
        <row r="526">
          <cell r="AG526" t="str">
            <v>ЮНГ</v>
          </cell>
        </row>
        <row r="527">
          <cell r="AG527" t="str">
            <v>ЮНГ</v>
          </cell>
        </row>
        <row r="528">
          <cell r="AG528" t="str">
            <v>ЮНГ</v>
          </cell>
        </row>
        <row r="529">
          <cell r="AG529" t="str">
            <v>ЮНГ</v>
          </cell>
        </row>
        <row r="530">
          <cell r="AG530" t="str">
            <v>ЮНГ</v>
          </cell>
        </row>
        <row r="531">
          <cell r="AG531" t="str">
            <v>ЮНГ</v>
          </cell>
        </row>
        <row r="532">
          <cell r="AG532" t="str">
            <v>ЮНГ</v>
          </cell>
        </row>
        <row r="533">
          <cell r="AG533" t="str">
            <v>ЮНГ</v>
          </cell>
        </row>
        <row r="534">
          <cell r="AG534" t="str">
            <v>ЮНГ</v>
          </cell>
        </row>
        <row r="535">
          <cell r="AG535" t="str">
            <v>ЮНГ</v>
          </cell>
        </row>
        <row r="536">
          <cell r="AG536" t="str">
            <v>ЮНГ</v>
          </cell>
        </row>
        <row r="537">
          <cell r="AG537" t="str">
            <v>ЮНГ</v>
          </cell>
        </row>
        <row r="538">
          <cell r="AG538" t="str">
            <v>ЮНГ</v>
          </cell>
        </row>
        <row r="539">
          <cell r="AG539" t="str">
            <v>ЮНГ</v>
          </cell>
        </row>
        <row r="540">
          <cell r="AG540" t="str">
            <v>ЮНГ</v>
          </cell>
        </row>
        <row r="541">
          <cell r="AG541" t="str">
            <v>ЮНГ</v>
          </cell>
        </row>
        <row r="542">
          <cell r="AG542" t="str">
            <v>ЮНГ</v>
          </cell>
        </row>
        <row r="543">
          <cell r="AG543" t="str">
            <v>ЮНГ</v>
          </cell>
        </row>
        <row r="544">
          <cell r="AG544" t="str">
            <v>ЮНГ</v>
          </cell>
        </row>
        <row r="545">
          <cell r="AG545" t="str">
            <v>ЮНГ</v>
          </cell>
        </row>
        <row r="546">
          <cell r="AG546" t="str">
            <v>ЮНГ</v>
          </cell>
        </row>
        <row r="547">
          <cell r="AG547" t="str">
            <v>ЮНГ</v>
          </cell>
        </row>
        <row r="548">
          <cell r="AG548" t="str">
            <v>ЮНГ</v>
          </cell>
        </row>
        <row r="549">
          <cell r="AG549" t="str">
            <v>ЮНГ</v>
          </cell>
        </row>
        <row r="550">
          <cell r="AG550" t="str">
            <v>ЮНГ</v>
          </cell>
        </row>
        <row r="551">
          <cell r="AG551" t="str">
            <v>ЮНГ</v>
          </cell>
        </row>
        <row r="552">
          <cell r="AG552" t="str">
            <v>ЮНГ</v>
          </cell>
        </row>
        <row r="553">
          <cell r="AG553" t="str">
            <v>ЮНГ</v>
          </cell>
        </row>
        <row r="554">
          <cell r="AG554" t="str">
            <v>ЮНГ</v>
          </cell>
        </row>
        <row r="555">
          <cell r="AG555" t="str">
            <v>ЮНГ</v>
          </cell>
        </row>
        <row r="556">
          <cell r="AG556" t="str">
            <v>ЮНГ</v>
          </cell>
        </row>
        <row r="557">
          <cell r="AG557" t="str">
            <v>ЮНГ</v>
          </cell>
        </row>
        <row r="558">
          <cell r="AG558" t="str">
            <v>ЮНГ</v>
          </cell>
        </row>
        <row r="559">
          <cell r="AG559" t="str">
            <v>ЮНГ</v>
          </cell>
        </row>
        <row r="560">
          <cell r="AG560" t="str">
            <v>ЮНГ</v>
          </cell>
        </row>
        <row r="561">
          <cell r="AG561" t="str">
            <v>ЮНГ</v>
          </cell>
        </row>
        <row r="562">
          <cell r="AG562" t="str">
            <v>ЮНГ</v>
          </cell>
        </row>
        <row r="563">
          <cell r="AG563" t="str">
            <v>ЮНГ</v>
          </cell>
        </row>
        <row r="564">
          <cell r="AG564" t="str">
            <v>ЮНГ</v>
          </cell>
        </row>
        <row r="565">
          <cell r="AG565" t="str">
            <v>ЮНГ</v>
          </cell>
        </row>
        <row r="566">
          <cell r="AG566" t="str">
            <v>ЮНГ</v>
          </cell>
        </row>
        <row r="567">
          <cell r="AG567" t="str">
            <v>ЮНГ</v>
          </cell>
        </row>
        <row r="568">
          <cell r="AG568" t="str">
            <v>ЮНГ</v>
          </cell>
        </row>
        <row r="569">
          <cell r="AG569" t="str">
            <v>ЮНГ</v>
          </cell>
        </row>
        <row r="570">
          <cell r="AG570" t="str">
            <v>ЮНГ</v>
          </cell>
        </row>
        <row r="571">
          <cell r="AG571" t="str">
            <v>ЮНГ</v>
          </cell>
        </row>
        <row r="572">
          <cell r="AG572" t="str">
            <v>ЮНГ</v>
          </cell>
        </row>
        <row r="573">
          <cell r="AG573" t="str">
            <v>ЮНГ</v>
          </cell>
        </row>
        <row r="574">
          <cell r="AG574" t="str">
            <v>ЮНГ</v>
          </cell>
        </row>
        <row r="575">
          <cell r="AG575" t="str">
            <v>ЮНГ</v>
          </cell>
        </row>
        <row r="576">
          <cell r="AG576" t="str">
            <v>ЮНГ</v>
          </cell>
        </row>
        <row r="577">
          <cell r="AG577" t="str">
            <v>ЮНГ</v>
          </cell>
        </row>
        <row r="578">
          <cell r="AG578" t="str">
            <v>ЮНГ</v>
          </cell>
        </row>
        <row r="579">
          <cell r="AG579" t="str">
            <v>ЮНГ</v>
          </cell>
        </row>
        <row r="580">
          <cell r="AG580" t="str">
            <v>ЮНГ</v>
          </cell>
        </row>
        <row r="581">
          <cell r="AG581" t="str">
            <v>ЮНГ</v>
          </cell>
        </row>
        <row r="582">
          <cell r="AG582" t="str">
            <v>ЮНГ</v>
          </cell>
        </row>
        <row r="583">
          <cell r="AG583" t="str">
            <v>ЮНГ</v>
          </cell>
        </row>
        <row r="584">
          <cell r="AG584" t="str">
            <v>ЮНГ</v>
          </cell>
        </row>
        <row r="585">
          <cell r="AG585" t="str">
            <v>ЮНГ</v>
          </cell>
        </row>
        <row r="586">
          <cell r="AG586" t="str">
            <v>ЮНГ</v>
          </cell>
        </row>
        <row r="587">
          <cell r="AG587" t="str">
            <v>ЮНГ</v>
          </cell>
        </row>
        <row r="588">
          <cell r="AG588" t="str">
            <v>ЮНГ</v>
          </cell>
        </row>
        <row r="589">
          <cell r="AG589" t="str">
            <v>ЮНГ</v>
          </cell>
        </row>
        <row r="590">
          <cell r="AG590" t="str">
            <v>ЮНГ</v>
          </cell>
        </row>
        <row r="591">
          <cell r="AG591" t="str">
            <v>ЮНГ</v>
          </cell>
        </row>
        <row r="592">
          <cell r="AG592" t="str">
            <v>ЮНГ</v>
          </cell>
        </row>
        <row r="593">
          <cell r="AG593" t="str">
            <v>ЮНГ</v>
          </cell>
        </row>
        <row r="594">
          <cell r="AG594" t="str">
            <v>ЮНГ</v>
          </cell>
        </row>
        <row r="595">
          <cell r="AG595" t="str">
            <v>ЮНГ</v>
          </cell>
        </row>
        <row r="596">
          <cell r="AG596" t="str">
            <v>ЮНГ</v>
          </cell>
        </row>
        <row r="597">
          <cell r="AG597" t="str">
            <v>ЮНГ</v>
          </cell>
        </row>
        <row r="598">
          <cell r="AG598" t="str">
            <v>ЮНГ</v>
          </cell>
        </row>
        <row r="599">
          <cell r="AG599" t="str">
            <v>ЮНГ</v>
          </cell>
        </row>
        <row r="600">
          <cell r="AG600" t="str">
            <v>ЮНГ</v>
          </cell>
        </row>
        <row r="601">
          <cell r="AG601" t="str">
            <v>ЮНГ</v>
          </cell>
        </row>
        <row r="602">
          <cell r="AG602" t="str">
            <v>ЮНГ</v>
          </cell>
        </row>
        <row r="603">
          <cell r="AG603" t="str">
            <v>ЮНГ</v>
          </cell>
        </row>
        <row r="604">
          <cell r="AG604" t="str">
            <v>ЮНГ</v>
          </cell>
        </row>
        <row r="605">
          <cell r="AG605" t="str">
            <v>ЮНГ</v>
          </cell>
        </row>
        <row r="606">
          <cell r="AG606" t="str">
            <v>ЮНГ</v>
          </cell>
        </row>
        <row r="607">
          <cell r="AG607" t="str">
            <v>ЮНГ</v>
          </cell>
        </row>
        <row r="608">
          <cell r="AG608" t="str">
            <v>ЮНГ</v>
          </cell>
        </row>
        <row r="609">
          <cell r="AG609" t="str">
            <v>ЮНГ</v>
          </cell>
        </row>
        <row r="610">
          <cell r="AG610" t="str">
            <v>ЮНГ</v>
          </cell>
        </row>
        <row r="611">
          <cell r="AG611" t="str">
            <v>ЮНГ</v>
          </cell>
        </row>
        <row r="612">
          <cell r="AG612" t="str">
            <v>ЮНГ</v>
          </cell>
        </row>
        <row r="613">
          <cell r="AG613" t="str">
            <v>ЮНГ</v>
          </cell>
        </row>
        <row r="614">
          <cell r="AG614" t="str">
            <v>ЮНГ</v>
          </cell>
        </row>
        <row r="615">
          <cell r="AG615" t="str">
            <v>ЮНГ</v>
          </cell>
        </row>
        <row r="616">
          <cell r="AG616" t="str">
            <v>ЮНГ</v>
          </cell>
        </row>
        <row r="617">
          <cell r="AG617" t="str">
            <v>ЮНГ</v>
          </cell>
        </row>
        <row r="618">
          <cell r="AG618" t="str">
            <v>ЮНГ</v>
          </cell>
        </row>
        <row r="619">
          <cell r="AG619" t="str">
            <v>ЮНГ</v>
          </cell>
        </row>
        <row r="620">
          <cell r="AG620" t="str">
            <v>ЮНГ</v>
          </cell>
        </row>
        <row r="621">
          <cell r="AG621" t="str">
            <v>ЮНГ</v>
          </cell>
        </row>
        <row r="622">
          <cell r="AG622" t="str">
            <v>ЮНГ</v>
          </cell>
        </row>
        <row r="623">
          <cell r="AG623" t="str">
            <v>ЮНГ</v>
          </cell>
        </row>
        <row r="624">
          <cell r="AG624" t="str">
            <v>ЮНГ</v>
          </cell>
        </row>
        <row r="625">
          <cell r="AG625" t="str">
            <v>ЮНГ</v>
          </cell>
        </row>
        <row r="626">
          <cell r="AG626" t="str">
            <v>ЮНГ</v>
          </cell>
        </row>
        <row r="627">
          <cell r="AG627" t="str">
            <v>ЮНГ</v>
          </cell>
        </row>
        <row r="628">
          <cell r="AG628" t="str">
            <v>ЮНГ</v>
          </cell>
        </row>
        <row r="629">
          <cell r="AG629" t="str">
            <v>ЮНГ</v>
          </cell>
        </row>
        <row r="630">
          <cell r="AG630" t="str">
            <v>ЮНГ</v>
          </cell>
        </row>
        <row r="631">
          <cell r="AG631" t="str">
            <v>ЮНГ</v>
          </cell>
        </row>
        <row r="632">
          <cell r="AG632" t="str">
            <v>ЮНГ</v>
          </cell>
        </row>
        <row r="633">
          <cell r="AG633" t="str">
            <v>ЮНГ</v>
          </cell>
        </row>
        <row r="634">
          <cell r="AG634" t="str">
            <v>ЮНГ</v>
          </cell>
        </row>
        <row r="635">
          <cell r="AG635" t="str">
            <v>ЮНГ</v>
          </cell>
        </row>
        <row r="636">
          <cell r="AG636" t="str">
            <v>ЮНГ</v>
          </cell>
        </row>
        <row r="637">
          <cell r="AG637" t="str">
            <v>ЮНГ</v>
          </cell>
        </row>
        <row r="638">
          <cell r="AG638" t="str">
            <v>ЮНГ</v>
          </cell>
        </row>
        <row r="639">
          <cell r="AG639" t="str">
            <v>ЮНГ</v>
          </cell>
        </row>
        <row r="640">
          <cell r="AG640" t="str">
            <v>ЮНГ</v>
          </cell>
        </row>
        <row r="641">
          <cell r="AG641" t="str">
            <v>ЮНГ</v>
          </cell>
        </row>
        <row r="642">
          <cell r="AG642" t="str">
            <v>ЮНГ</v>
          </cell>
        </row>
        <row r="643">
          <cell r="AG643" t="str">
            <v>ЮНГ</v>
          </cell>
        </row>
        <row r="644">
          <cell r="AG644" t="str">
            <v>ЮНГ</v>
          </cell>
        </row>
        <row r="645">
          <cell r="AG645" t="str">
            <v>ЮНГ</v>
          </cell>
        </row>
        <row r="646">
          <cell r="AG646" t="str">
            <v>ЮНГ</v>
          </cell>
        </row>
        <row r="647">
          <cell r="AG647" t="str">
            <v>ЮНГ</v>
          </cell>
        </row>
        <row r="648">
          <cell r="AG648" t="str">
            <v>ЮНГ</v>
          </cell>
        </row>
        <row r="649">
          <cell r="AG649" t="str">
            <v>ЮНГ</v>
          </cell>
        </row>
        <row r="650">
          <cell r="AG650" t="str">
            <v>ЮНГ</v>
          </cell>
        </row>
        <row r="651">
          <cell r="AG651" t="str">
            <v>ЮНГ</v>
          </cell>
        </row>
        <row r="652">
          <cell r="AG652" t="str">
            <v>ЮНГ</v>
          </cell>
        </row>
        <row r="653">
          <cell r="AG653" t="str">
            <v>ЮНГ</v>
          </cell>
        </row>
        <row r="654">
          <cell r="AG654" t="str">
            <v>ЮНГ</v>
          </cell>
        </row>
        <row r="655">
          <cell r="AG655" t="str">
            <v>ЮНГ</v>
          </cell>
        </row>
        <row r="656">
          <cell r="AG656" t="str">
            <v>ЮНГ</v>
          </cell>
        </row>
        <row r="657">
          <cell r="AG657" t="str">
            <v>ЮНГ</v>
          </cell>
        </row>
        <row r="658">
          <cell r="AG658" t="str">
            <v>ЮНГ</v>
          </cell>
        </row>
        <row r="659">
          <cell r="AG659" t="str">
            <v>ЮНГ</v>
          </cell>
        </row>
        <row r="660">
          <cell r="AG660" t="str">
            <v>ЮНГ</v>
          </cell>
        </row>
        <row r="661">
          <cell r="AG661" t="str">
            <v>ЮНГ</v>
          </cell>
        </row>
        <row r="662">
          <cell r="AG662" t="str">
            <v>ЮНГ</v>
          </cell>
        </row>
        <row r="663">
          <cell r="AG663" t="str">
            <v>ЮНГ</v>
          </cell>
        </row>
        <row r="664">
          <cell r="AG664" t="str">
            <v>ЮНГ</v>
          </cell>
        </row>
        <row r="665">
          <cell r="AG665" t="str">
            <v>ЮНГ</v>
          </cell>
        </row>
        <row r="666">
          <cell r="AG666" t="str">
            <v>ЮНГ</v>
          </cell>
        </row>
        <row r="667">
          <cell r="AG667" t="str">
            <v>ЮНГ</v>
          </cell>
        </row>
        <row r="668">
          <cell r="AG668" t="str">
            <v>ЮНГ</v>
          </cell>
        </row>
        <row r="669">
          <cell r="AG669" t="str">
            <v>ЮНГ</v>
          </cell>
        </row>
        <row r="670">
          <cell r="AG670" t="str">
            <v>ЮНГ</v>
          </cell>
        </row>
        <row r="671">
          <cell r="AG671" t="str">
            <v>ЮНГ</v>
          </cell>
        </row>
        <row r="672">
          <cell r="AG672" t="str">
            <v>ЮНГ</v>
          </cell>
        </row>
        <row r="673">
          <cell r="AG673" t="str">
            <v>ЮНГ</v>
          </cell>
        </row>
        <row r="674">
          <cell r="AG674" t="str">
            <v>ЮНГ</v>
          </cell>
        </row>
        <row r="675">
          <cell r="AG675" t="str">
            <v>ЮНГ</v>
          </cell>
        </row>
        <row r="676">
          <cell r="AG676" t="str">
            <v>ЮНГ</v>
          </cell>
        </row>
        <row r="677">
          <cell r="AG677" t="str">
            <v>ЮНГ</v>
          </cell>
        </row>
        <row r="678">
          <cell r="AG678" t="str">
            <v>ЮНГ</v>
          </cell>
        </row>
        <row r="679">
          <cell r="AG679" t="str">
            <v>ЮНГ</v>
          </cell>
        </row>
        <row r="680">
          <cell r="AG680" t="str">
            <v>ЮНГ</v>
          </cell>
        </row>
        <row r="681">
          <cell r="AG681" t="str">
            <v>ЮНГ</v>
          </cell>
        </row>
        <row r="682">
          <cell r="AG682" t="str">
            <v>ЮНГ</v>
          </cell>
        </row>
        <row r="683">
          <cell r="AG683" t="str">
            <v>ЮНГ</v>
          </cell>
        </row>
        <row r="684">
          <cell r="AG684" t="str">
            <v>ЮНГ</v>
          </cell>
        </row>
        <row r="685">
          <cell r="AG685" t="str">
            <v>ЮНГ</v>
          </cell>
        </row>
        <row r="686">
          <cell r="AG686" t="str">
            <v>ЮНГ</v>
          </cell>
        </row>
        <row r="687">
          <cell r="AG687" t="str">
            <v>ЮНГ</v>
          </cell>
        </row>
        <row r="688">
          <cell r="AG688" t="str">
            <v>ЮНГ</v>
          </cell>
        </row>
        <row r="689">
          <cell r="AG689" t="str">
            <v>ЮНГ</v>
          </cell>
        </row>
        <row r="690">
          <cell r="AG690" t="str">
            <v>ЮНГ</v>
          </cell>
        </row>
        <row r="691">
          <cell r="AG691" t="str">
            <v>ЮНГ</v>
          </cell>
        </row>
        <row r="692">
          <cell r="AG692" t="str">
            <v>ЮНГ</v>
          </cell>
        </row>
        <row r="693">
          <cell r="AG693" t="str">
            <v>ЮНГ</v>
          </cell>
        </row>
        <row r="694">
          <cell r="AG694" t="str">
            <v>ЮНГ</v>
          </cell>
        </row>
        <row r="695">
          <cell r="AG695" t="str">
            <v>ЮНГ</v>
          </cell>
        </row>
        <row r="696">
          <cell r="AG696" t="str">
            <v>ЮНГ</v>
          </cell>
        </row>
        <row r="697">
          <cell r="AG697" t="str">
            <v>ЮНГ</v>
          </cell>
        </row>
        <row r="698">
          <cell r="AG698" t="str">
            <v>ЮНГ</v>
          </cell>
        </row>
        <row r="699">
          <cell r="AG699" t="str">
            <v>ЮНГ</v>
          </cell>
        </row>
        <row r="700">
          <cell r="AG700" t="str">
            <v>ЮНГ</v>
          </cell>
        </row>
        <row r="701">
          <cell r="AG701" t="str">
            <v>ЮНГ</v>
          </cell>
        </row>
        <row r="702">
          <cell r="AG702" t="str">
            <v>ЮНГ</v>
          </cell>
        </row>
        <row r="703">
          <cell r="AG703" t="str">
            <v>ЮНГ</v>
          </cell>
        </row>
        <row r="704">
          <cell r="AG704" t="str">
            <v>ЮНГ</v>
          </cell>
        </row>
        <row r="705">
          <cell r="AG705" t="str">
            <v>ЮНГ</v>
          </cell>
        </row>
        <row r="706">
          <cell r="AG706" t="str">
            <v>ЮНГ</v>
          </cell>
        </row>
        <row r="707">
          <cell r="AG707" t="str">
            <v>ЮНГ</v>
          </cell>
        </row>
        <row r="708">
          <cell r="AG708" t="str">
            <v>ЮНГ</v>
          </cell>
        </row>
        <row r="709">
          <cell r="AG709" t="str">
            <v>ЮНГ</v>
          </cell>
        </row>
        <row r="710">
          <cell r="AG710" t="str">
            <v>ЮНГ</v>
          </cell>
        </row>
        <row r="711">
          <cell r="AG711" t="str">
            <v>ЮНГ</v>
          </cell>
        </row>
        <row r="712">
          <cell r="AG712" t="str">
            <v>ЮНГ</v>
          </cell>
        </row>
        <row r="713">
          <cell r="AG713" t="str">
            <v>ЮНГ</v>
          </cell>
        </row>
        <row r="714">
          <cell r="AG714" t="str">
            <v>ЮНГ</v>
          </cell>
        </row>
        <row r="715">
          <cell r="AG715" t="str">
            <v>ЮНГ</v>
          </cell>
        </row>
        <row r="716">
          <cell r="AG716" t="str">
            <v>ЮНГ</v>
          </cell>
        </row>
        <row r="717">
          <cell r="AG717" t="str">
            <v>ЮНГ</v>
          </cell>
        </row>
        <row r="718">
          <cell r="AG718" t="str">
            <v>ЮНГ</v>
          </cell>
        </row>
        <row r="719">
          <cell r="AG719" t="str">
            <v>ЮНГ</v>
          </cell>
        </row>
        <row r="720">
          <cell r="AG720" t="str">
            <v>ЮНГ</v>
          </cell>
        </row>
        <row r="721">
          <cell r="AG721" t="str">
            <v>ЮНГ</v>
          </cell>
        </row>
        <row r="722">
          <cell r="AG722" t="str">
            <v>ЮНГ</v>
          </cell>
        </row>
        <row r="723">
          <cell r="AG723" t="str">
            <v>ЮНГ</v>
          </cell>
        </row>
        <row r="724">
          <cell r="AG724" t="str">
            <v>ЮНГ</v>
          </cell>
        </row>
        <row r="725">
          <cell r="AG725" t="str">
            <v>ЮНГ</v>
          </cell>
        </row>
        <row r="726">
          <cell r="AG726" t="str">
            <v>ЮНГ</v>
          </cell>
        </row>
        <row r="727">
          <cell r="AG727" t="str">
            <v>ЮНГ</v>
          </cell>
        </row>
        <row r="728">
          <cell r="AG728" t="str">
            <v>ЮНГ</v>
          </cell>
        </row>
        <row r="729">
          <cell r="AG729" t="str">
            <v>ЮНГ</v>
          </cell>
        </row>
        <row r="730">
          <cell r="AG730" t="str">
            <v>ЮНГ</v>
          </cell>
        </row>
        <row r="731">
          <cell r="AG731" t="str">
            <v>ЮНГ</v>
          </cell>
        </row>
        <row r="732">
          <cell r="AG732" t="str">
            <v>ЮНГ</v>
          </cell>
        </row>
        <row r="733">
          <cell r="AG733" t="str">
            <v>ЮНГ</v>
          </cell>
        </row>
        <row r="734">
          <cell r="AG734" t="str">
            <v>ЮНГ</v>
          </cell>
        </row>
        <row r="735">
          <cell r="AG735" t="str">
            <v>ЮНГ</v>
          </cell>
        </row>
        <row r="736">
          <cell r="AG736" t="str">
            <v>ЮНГ</v>
          </cell>
        </row>
        <row r="737">
          <cell r="AG737" t="str">
            <v>ЮНГ</v>
          </cell>
        </row>
        <row r="738">
          <cell r="AG738" t="str">
            <v>ЮНГ</v>
          </cell>
        </row>
        <row r="739">
          <cell r="AG739" t="str">
            <v>ЮНГ</v>
          </cell>
        </row>
        <row r="740">
          <cell r="AG740" t="str">
            <v>ЮНГ</v>
          </cell>
        </row>
        <row r="741">
          <cell r="AG741" t="str">
            <v>ЮНГ</v>
          </cell>
        </row>
        <row r="742">
          <cell r="AG742" t="str">
            <v>ЮНГ</v>
          </cell>
        </row>
        <row r="743">
          <cell r="AG743" t="str">
            <v>ЮНГ</v>
          </cell>
        </row>
        <row r="744">
          <cell r="AG744" t="str">
            <v>ЮНГ</v>
          </cell>
        </row>
        <row r="745">
          <cell r="AG745" t="str">
            <v>ЮНГ</v>
          </cell>
        </row>
        <row r="746">
          <cell r="AG746" t="str">
            <v>ЮНГ</v>
          </cell>
        </row>
        <row r="747">
          <cell r="AG747" t="str">
            <v>ЮНГ</v>
          </cell>
        </row>
        <row r="748">
          <cell r="AG748" t="str">
            <v>ЮНГ</v>
          </cell>
        </row>
        <row r="749">
          <cell r="AG749" t="str">
            <v>ЮНГ</v>
          </cell>
        </row>
        <row r="750">
          <cell r="AG750" t="str">
            <v>ЮНГ</v>
          </cell>
        </row>
        <row r="751">
          <cell r="AG751" t="str">
            <v>ЮНГ</v>
          </cell>
        </row>
        <row r="752">
          <cell r="AG752" t="str">
            <v>ЮНГ</v>
          </cell>
        </row>
        <row r="753">
          <cell r="AG753" t="str">
            <v>ЮНГ</v>
          </cell>
        </row>
        <row r="754">
          <cell r="AG754" t="str">
            <v>ЮНГ</v>
          </cell>
        </row>
        <row r="755">
          <cell r="AG755" t="str">
            <v>ЮНГ</v>
          </cell>
        </row>
        <row r="756">
          <cell r="AG756" t="str">
            <v>ЮНГ</v>
          </cell>
        </row>
        <row r="757">
          <cell r="AG757" t="str">
            <v>ЮНГ</v>
          </cell>
        </row>
        <row r="758">
          <cell r="AG758" t="str">
            <v>ЮНГ</v>
          </cell>
        </row>
        <row r="759">
          <cell r="AG759" t="str">
            <v>ЮНГ</v>
          </cell>
        </row>
        <row r="760">
          <cell r="AG760" t="str">
            <v>ЮНГ</v>
          </cell>
        </row>
        <row r="761">
          <cell r="AG761" t="str">
            <v>ЮНГ</v>
          </cell>
        </row>
        <row r="762">
          <cell r="AG762" t="str">
            <v>ЮНГ</v>
          </cell>
        </row>
        <row r="763">
          <cell r="AG763" t="str">
            <v>ЮНГ</v>
          </cell>
        </row>
        <row r="764">
          <cell r="AG764" t="str">
            <v>ЮНГ</v>
          </cell>
        </row>
        <row r="765">
          <cell r="AG765" t="str">
            <v>ЮНГ</v>
          </cell>
        </row>
        <row r="766">
          <cell r="AG766" t="str">
            <v>ЮНГ</v>
          </cell>
        </row>
        <row r="767">
          <cell r="AG767" t="str">
            <v>ЮНГ</v>
          </cell>
        </row>
        <row r="768">
          <cell r="AG768" t="str">
            <v>ЮНГ</v>
          </cell>
        </row>
        <row r="769">
          <cell r="AG769" t="str">
            <v>ЮНГ</v>
          </cell>
        </row>
        <row r="770">
          <cell r="AG770" t="str">
            <v>ЮНГ</v>
          </cell>
        </row>
        <row r="771">
          <cell r="AG771" t="str">
            <v>ЮНГ</v>
          </cell>
        </row>
        <row r="772">
          <cell r="AG772" t="str">
            <v>ЮНГ</v>
          </cell>
        </row>
        <row r="773">
          <cell r="AG773" t="str">
            <v>ЮНГ</v>
          </cell>
        </row>
        <row r="774">
          <cell r="AG774" t="str">
            <v>ЮНГ</v>
          </cell>
        </row>
        <row r="775">
          <cell r="AG775" t="str">
            <v>ЮНГ</v>
          </cell>
        </row>
        <row r="776">
          <cell r="AG776" t="str">
            <v>ЮНГ</v>
          </cell>
        </row>
        <row r="777">
          <cell r="AG777" t="str">
            <v>ЮНГ</v>
          </cell>
        </row>
        <row r="778">
          <cell r="AG778" t="str">
            <v>ЮНГ</v>
          </cell>
        </row>
        <row r="779">
          <cell r="AG779" t="str">
            <v>ЮНГ</v>
          </cell>
        </row>
        <row r="780">
          <cell r="AG780" t="str">
            <v>ЮНГ</v>
          </cell>
        </row>
        <row r="781">
          <cell r="AG781" t="str">
            <v>ЮНГ</v>
          </cell>
        </row>
        <row r="782">
          <cell r="AG782" t="str">
            <v>ЮНГ</v>
          </cell>
        </row>
        <row r="783">
          <cell r="AG783" t="str">
            <v>ЮНГ</v>
          </cell>
        </row>
        <row r="784">
          <cell r="AG784" t="str">
            <v>ЮНГ</v>
          </cell>
        </row>
        <row r="785">
          <cell r="AG785" t="str">
            <v>ЮНГ</v>
          </cell>
        </row>
        <row r="786">
          <cell r="AG786" t="str">
            <v>ЮНГ</v>
          </cell>
        </row>
        <row r="787">
          <cell r="AG787" t="str">
            <v>ЮНГ</v>
          </cell>
        </row>
        <row r="788">
          <cell r="AG788" t="str">
            <v>ЮНГ</v>
          </cell>
        </row>
        <row r="789">
          <cell r="AG789" t="str">
            <v>ЮНГ</v>
          </cell>
        </row>
        <row r="790">
          <cell r="AG790" t="str">
            <v>ЮНГ</v>
          </cell>
        </row>
        <row r="791">
          <cell r="AG791" t="str">
            <v>ЮНГ</v>
          </cell>
        </row>
        <row r="792">
          <cell r="AG792" t="str">
            <v>ЮНГ</v>
          </cell>
        </row>
        <row r="793">
          <cell r="AG793" t="str">
            <v>ЮНГ</v>
          </cell>
        </row>
        <row r="794">
          <cell r="AG794" t="str">
            <v>ЮНГ</v>
          </cell>
        </row>
        <row r="795">
          <cell r="AG795" t="str">
            <v>ЮНГ</v>
          </cell>
        </row>
        <row r="796">
          <cell r="AG796" t="str">
            <v>ЮНГ</v>
          </cell>
        </row>
        <row r="797">
          <cell r="AG797" t="str">
            <v>ЮНГ</v>
          </cell>
        </row>
        <row r="798">
          <cell r="AG798" t="str">
            <v>ЮНГ</v>
          </cell>
        </row>
        <row r="799">
          <cell r="AG799" t="str">
            <v>ЮНГ</v>
          </cell>
        </row>
        <row r="800">
          <cell r="AG800" t="str">
            <v>ЮНГ</v>
          </cell>
        </row>
        <row r="801">
          <cell r="AG801" t="str">
            <v>ЮНГ</v>
          </cell>
        </row>
        <row r="802">
          <cell r="AG802" t="str">
            <v>ЮНГ</v>
          </cell>
        </row>
        <row r="803">
          <cell r="AG803" t="str">
            <v>ЮНГ</v>
          </cell>
        </row>
        <row r="804">
          <cell r="AG804" t="str">
            <v>ЮНГ</v>
          </cell>
        </row>
        <row r="805">
          <cell r="AG805" t="str">
            <v>ЮНГ</v>
          </cell>
        </row>
        <row r="806">
          <cell r="AG806" t="str">
            <v>ЮНГ</v>
          </cell>
        </row>
        <row r="807">
          <cell r="AG807" t="str">
            <v>ЮНГ</v>
          </cell>
        </row>
        <row r="808">
          <cell r="AG808" t="str">
            <v>ЮНГ</v>
          </cell>
        </row>
        <row r="809">
          <cell r="AG809" t="str">
            <v>ЮНГ</v>
          </cell>
        </row>
        <row r="810">
          <cell r="AG810" t="str">
            <v>ЮНГ</v>
          </cell>
        </row>
        <row r="811">
          <cell r="AG811" t="str">
            <v>ЮНГ</v>
          </cell>
        </row>
        <row r="812">
          <cell r="AG812" t="str">
            <v>ЮНГ</v>
          </cell>
        </row>
        <row r="813">
          <cell r="AG813" t="str">
            <v>ЮНГ</v>
          </cell>
        </row>
        <row r="814">
          <cell r="AG814" t="str">
            <v>ЮНГ</v>
          </cell>
        </row>
        <row r="815">
          <cell r="AG815" t="str">
            <v>ЮНГ</v>
          </cell>
        </row>
        <row r="816">
          <cell r="AG816" t="str">
            <v>ЮНГ</v>
          </cell>
        </row>
        <row r="817">
          <cell r="AG817" t="str">
            <v>ЮНГ</v>
          </cell>
        </row>
        <row r="818">
          <cell r="AG818" t="str">
            <v>ЮНГ</v>
          </cell>
        </row>
        <row r="819">
          <cell r="AG819" t="str">
            <v>ЮНГ</v>
          </cell>
        </row>
        <row r="820">
          <cell r="AG820" t="str">
            <v>ЮНГ</v>
          </cell>
        </row>
        <row r="821">
          <cell r="AG821" t="str">
            <v>ЮНГ</v>
          </cell>
        </row>
        <row r="822">
          <cell r="AG822" t="str">
            <v>ЮНГ</v>
          </cell>
        </row>
        <row r="823">
          <cell r="AG823" t="str">
            <v>ЮНГ</v>
          </cell>
        </row>
        <row r="824">
          <cell r="AG824" t="str">
            <v>ЮНГ</v>
          </cell>
        </row>
        <row r="825">
          <cell r="AG825" t="str">
            <v>ЮНГ</v>
          </cell>
        </row>
        <row r="826">
          <cell r="AG826" t="str">
            <v>ЮНГ</v>
          </cell>
        </row>
        <row r="827">
          <cell r="AG827" t="str">
            <v>ЮНГ</v>
          </cell>
        </row>
        <row r="828">
          <cell r="AG828" t="str">
            <v>ЮНГ</v>
          </cell>
        </row>
        <row r="829">
          <cell r="AG829" t="str">
            <v>ЮНГ</v>
          </cell>
        </row>
        <row r="830">
          <cell r="AG830" t="str">
            <v>ЮНГ</v>
          </cell>
        </row>
        <row r="831">
          <cell r="AG831" t="str">
            <v>ЮНГ</v>
          </cell>
        </row>
        <row r="832">
          <cell r="AG832" t="str">
            <v>ЮНГ</v>
          </cell>
        </row>
        <row r="833">
          <cell r="AG833" t="str">
            <v>ЮНГ</v>
          </cell>
        </row>
        <row r="834">
          <cell r="AG834" t="str">
            <v>ЮНГ</v>
          </cell>
        </row>
        <row r="835">
          <cell r="AG835" t="str">
            <v>ЮНГ</v>
          </cell>
        </row>
        <row r="836">
          <cell r="AG836" t="str">
            <v>ЮНГ</v>
          </cell>
        </row>
        <row r="837">
          <cell r="AG837" t="str">
            <v>ЮНГ</v>
          </cell>
        </row>
        <row r="838">
          <cell r="AG838" t="str">
            <v>ЮНГ</v>
          </cell>
        </row>
        <row r="839">
          <cell r="AG839" t="str">
            <v>ЮНГ</v>
          </cell>
        </row>
        <row r="840">
          <cell r="AG840" t="str">
            <v>ЮНГ</v>
          </cell>
        </row>
        <row r="841">
          <cell r="AG841" t="str">
            <v>ЮНГ</v>
          </cell>
        </row>
        <row r="842">
          <cell r="AG842" t="str">
            <v>ЮНГ</v>
          </cell>
        </row>
        <row r="843">
          <cell r="AG843" t="str">
            <v>ЮНГ</v>
          </cell>
        </row>
        <row r="844">
          <cell r="AG844" t="str">
            <v>ЮНГ</v>
          </cell>
        </row>
        <row r="845">
          <cell r="AG845" t="str">
            <v>ЮНГ</v>
          </cell>
        </row>
        <row r="846">
          <cell r="AG846" t="str">
            <v>ЮНГ</v>
          </cell>
        </row>
        <row r="847">
          <cell r="AG847" t="str">
            <v>ЮНГ</v>
          </cell>
        </row>
        <row r="848">
          <cell r="AG848" t="str">
            <v>ЮНГ</v>
          </cell>
        </row>
        <row r="849">
          <cell r="AG849" t="str">
            <v>ЮНГ</v>
          </cell>
        </row>
        <row r="850">
          <cell r="AG850" t="str">
            <v>ЮНГ</v>
          </cell>
        </row>
        <row r="851">
          <cell r="AG851" t="str">
            <v>ЮНГ</v>
          </cell>
        </row>
        <row r="852">
          <cell r="AG852" t="str">
            <v>ЮНГ</v>
          </cell>
        </row>
        <row r="853">
          <cell r="AG853" t="str">
            <v>ЮНГ</v>
          </cell>
        </row>
        <row r="854">
          <cell r="AG854" t="str">
            <v>ЮНГ</v>
          </cell>
        </row>
        <row r="855">
          <cell r="AG855" t="str">
            <v>ЮНГ</v>
          </cell>
        </row>
        <row r="856">
          <cell r="AG856" t="str">
            <v>ЮНГ</v>
          </cell>
        </row>
        <row r="857">
          <cell r="AG857" t="str">
            <v>ЮНГ</v>
          </cell>
        </row>
        <row r="858">
          <cell r="AG858" t="str">
            <v>ЮНГ</v>
          </cell>
        </row>
        <row r="859">
          <cell r="AG859" t="str">
            <v>ЮНГ</v>
          </cell>
        </row>
        <row r="860">
          <cell r="AG860" t="str">
            <v>ЮНГ</v>
          </cell>
        </row>
        <row r="861">
          <cell r="AG861" t="str">
            <v>ЮНГ</v>
          </cell>
        </row>
        <row r="862">
          <cell r="AG862" t="str">
            <v>ЮНГ</v>
          </cell>
        </row>
        <row r="863">
          <cell r="AG863" t="str">
            <v>ЮНГ</v>
          </cell>
        </row>
        <row r="864">
          <cell r="AG864" t="str">
            <v>ЮНГ</v>
          </cell>
        </row>
        <row r="865">
          <cell r="AG865" t="str">
            <v>ЮНГ</v>
          </cell>
        </row>
        <row r="866">
          <cell r="AG866" t="str">
            <v>ЮНГ</v>
          </cell>
        </row>
        <row r="867">
          <cell r="AG867" t="str">
            <v>ЮНГ</v>
          </cell>
        </row>
        <row r="868">
          <cell r="AG868" t="str">
            <v>ЮНГ</v>
          </cell>
        </row>
        <row r="869">
          <cell r="AG869" t="str">
            <v>ЮНГ</v>
          </cell>
        </row>
        <row r="870">
          <cell r="AG870" t="str">
            <v>ЮНГ</v>
          </cell>
        </row>
        <row r="871">
          <cell r="AG871" t="str">
            <v>ЮНГ</v>
          </cell>
        </row>
        <row r="872">
          <cell r="AG872" t="str">
            <v>ЮНГ</v>
          </cell>
        </row>
        <row r="873">
          <cell r="AG873" t="str">
            <v>ЮНГ</v>
          </cell>
        </row>
        <row r="874">
          <cell r="AG874" t="str">
            <v>ЮНГ</v>
          </cell>
        </row>
        <row r="875">
          <cell r="AG875" t="str">
            <v>ЮНГ</v>
          </cell>
        </row>
        <row r="876">
          <cell r="AG876" t="str">
            <v>ЮНГ</v>
          </cell>
        </row>
        <row r="877">
          <cell r="AG877" t="str">
            <v>ЮНГ</v>
          </cell>
        </row>
        <row r="878">
          <cell r="AG878" t="str">
            <v>ЮНГ</v>
          </cell>
        </row>
        <row r="879">
          <cell r="AG879" t="str">
            <v>ЮНГ</v>
          </cell>
        </row>
        <row r="880">
          <cell r="AG880" t="str">
            <v>ЮНГ</v>
          </cell>
        </row>
        <row r="881">
          <cell r="AG881" t="str">
            <v>ЮНГ</v>
          </cell>
        </row>
        <row r="882">
          <cell r="AG882" t="str">
            <v>ЮНГ</v>
          </cell>
        </row>
        <row r="883">
          <cell r="AG883" t="str">
            <v>ЮНГ</v>
          </cell>
        </row>
        <row r="884">
          <cell r="AG884" t="str">
            <v>ЮНГ</v>
          </cell>
        </row>
        <row r="885">
          <cell r="AG885" t="str">
            <v>ЮНГ</v>
          </cell>
        </row>
        <row r="886">
          <cell r="AG886" t="str">
            <v>ЮНГ</v>
          </cell>
        </row>
        <row r="887">
          <cell r="AG887" t="str">
            <v>ЮНГ</v>
          </cell>
        </row>
        <row r="888">
          <cell r="AG888" t="str">
            <v>ЮНГ</v>
          </cell>
        </row>
        <row r="889">
          <cell r="AG889" t="str">
            <v>ЮНГ</v>
          </cell>
        </row>
        <row r="890">
          <cell r="AG890" t="str">
            <v>ЮНГ</v>
          </cell>
        </row>
        <row r="891">
          <cell r="AG891" t="str">
            <v>ЮНГ</v>
          </cell>
        </row>
        <row r="892">
          <cell r="AG892" t="str">
            <v>ЮНГ</v>
          </cell>
        </row>
        <row r="893">
          <cell r="AG893" t="str">
            <v>ЮНГ</v>
          </cell>
        </row>
        <row r="894">
          <cell r="AG894" t="str">
            <v>ЮНГ</v>
          </cell>
        </row>
        <row r="895">
          <cell r="AG895" t="str">
            <v>ЮНГ</v>
          </cell>
        </row>
        <row r="896">
          <cell r="AG896" t="str">
            <v>ЮНГ</v>
          </cell>
        </row>
        <row r="897">
          <cell r="AG897" t="str">
            <v>ЮНГ</v>
          </cell>
        </row>
        <row r="898">
          <cell r="AG898" t="str">
            <v>ЮНГ</v>
          </cell>
        </row>
        <row r="899">
          <cell r="AG899" t="str">
            <v>ЮНГ</v>
          </cell>
        </row>
        <row r="900">
          <cell r="AG900" t="str">
            <v>ЮНГ</v>
          </cell>
        </row>
        <row r="901">
          <cell r="AG901" t="str">
            <v>ЮНГ</v>
          </cell>
        </row>
        <row r="902">
          <cell r="AG902" t="str">
            <v>ЮНГ</v>
          </cell>
        </row>
        <row r="903">
          <cell r="AG903" t="str">
            <v>ЮНГ</v>
          </cell>
        </row>
        <row r="904">
          <cell r="AG904" t="str">
            <v>ЮНГ</v>
          </cell>
        </row>
        <row r="905">
          <cell r="AG905" t="str">
            <v>ЮНГ</v>
          </cell>
        </row>
        <row r="906">
          <cell r="AG906" t="str">
            <v>ЮНГ</v>
          </cell>
        </row>
        <row r="907">
          <cell r="AG907" t="str">
            <v>ЮНГ</v>
          </cell>
        </row>
        <row r="908">
          <cell r="AG908" t="str">
            <v>ЮНГ</v>
          </cell>
        </row>
        <row r="909">
          <cell r="AG909" t="str">
            <v>ЮНГ</v>
          </cell>
        </row>
        <row r="910">
          <cell r="AG910" t="str">
            <v>ЮНГ</v>
          </cell>
        </row>
        <row r="911">
          <cell r="AG911" t="str">
            <v>ЮНГ</v>
          </cell>
        </row>
        <row r="912">
          <cell r="AG912" t="str">
            <v>ЮНГ</v>
          </cell>
        </row>
        <row r="913">
          <cell r="AG913" t="str">
            <v>ЮНГ</v>
          </cell>
        </row>
        <row r="914">
          <cell r="AG914" t="str">
            <v>ЮНГ</v>
          </cell>
        </row>
        <row r="915">
          <cell r="AG915" t="str">
            <v>ЮНГ</v>
          </cell>
        </row>
        <row r="916">
          <cell r="AG916" t="str">
            <v>ЮНГ</v>
          </cell>
        </row>
        <row r="917">
          <cell r="AG917" t="str">
            <v>ЮНГ</v>
          </cell>
        </row>
        <row r="918">
          <cell r="AG918" t="str">
            <v>ЮНГ</v>
          </cell>
        </row>
        <row r="919">
          <cell r="AG919" t="str">
            <v>ЮНГ</v>
          </cell>
        </row>
        <row r="920">
          <cell r="AG920" t="str">
            <v>ЮНГ</v>
          </cell>
        </row>
        <row r="921">
          <cell r="AG921" t="str">
            <v>ЮНГ</v>
          </cell>
        </row>
        <row r="922">
          <cell r="AG922" t="str">
            <v>ЮНГ</v>
          </cell>
        </row>
        <row r="923">
          <cell r="AG923" t="str">
            <v>ЮНГ</v>
          </cell>
        </row>
        <row r="924">
          <cell r="AG924" t="str">
            <v>ЮНГ</v>
          </cell>
        </row>
        <row r="925">
          <cell r="AG925" t="str">
            <v>ЮНГ</v>
          </cell>
        </row>
        <row r="926">
          <cell r="AG926" t="str">
            <v>ЮНГ</v>
          </cell>
        </row>
        <row r="927">
          <cell r="AG927" t="str">
            <v>ЮНГ</v>
          </cell>
        </row>
        <row r="928">
          <cell r="AG928" t="str">
            <v>ЮНГ</v>
          </cell>
        </row>
        <row r="929">
          <cell r="AG929" t="str">
            <v>ЮНГ</v>
          </cell>
        </row>
        <row r="930">
          <cell r="AG930" t="str">
            <v>ЮНГ</v>
          </cell>
        </row>
        <row r="931">
          <cell r="AG931" t="str">
            <v>ЮНГ</v>
          </cell>
        </row>
        <row r="932">
          <cell r="AG932" t="str">
            <v>ЮНГ</v>
          </cell>
        </row>
        <row r="933">
          <cell r="AG933" t="str">
            <v>ЮНГ</v>
          </cell>
        </row>
        <row r="934">
          <cell r="AG934" t="str">
            <v>ЮНГ</v>
          </cell>
        </row>
        <row r="935">
          <cell r="AG935" t="str">
            <v>ЮНГ</v>
          </cell>
        </row>
        <row r="936">
          <cell r="AG936" t="str">
            <v>ЮНГ</v>
          </cell>
        </row>
        <row r="937">
          <cell r="AG937" t="str">
            <v>ЮНГ</v>
          </cell>
        </row>
        <row r="938">
          <cell r="AG938" t="str">
            <v>ЮНГ</v>
          </cell>
        </row>
        <row r="939">
          <cell r="AG939" t="str">
            <v>ЮНГ</v>
          </cell>
        </row>
        <row r="940">
          <cell r="AG940" t="str">
            <v>ЮНГ</v>
          </cell>
        </row>
        <row r="941">
          <cell r="AG941" t="str">
            <v>ЮНГ</v>
          </cell>
        </row>
        <row r="942">
          <cell r="AG942" t="str">
            <v>ЮНГ</v>
          </cell>
        </row>
        <row r="943">
          <cell r="AG943" t="str">
            <v>ЮНГ</v>
          </cell>
        </row>
        <row r="944">
          <cell r="AG944" t="str">
            <v>ЮНГ</v>
          </cell>
        </row>
        <row r="945">
          <cell r="AG945" t="str">
            <v>ЮНГ</v>
          </cell>
        </row>
        <row r="946">
          <cell r="AG946" t="str">
            <v>ЮНГ</v>
          </cell>
        </row>
        <row r="947">
          <cell r="AG947" t="str">
            <v>ЮНГ</v>
          </cell>
        </row>
        <row r="948">
          <cell r="AG948" t="str">
            <v>ЮНГ</v>
          </cell>
        </row>
        <row r="949">
          <cell r="AG949" t="str">
            <v>ЮНГ</v>
          </cell>
        </row>
        <row r="950">
          <cell r="AG950" t="str">
            <v>ЮНГ</v>
          </cell>
        </row>
        <row r="951">
          <cell r="AG951" t="str">
            <v>ЮНГ</v>
          </cell>
        </row>
        <row r="952">
          <cell r="AG952" t="str">
            <v>ЮНГ</v>
          </cell>
        </row>
        <row r="953">
          <cell r="AG953" t="str">
            <v>ЮНГ</v>
          </cell>
        </row>
        <row r="954">
          <cell r="AG954" t="str">
            <v>ЮНГ</v>
          </cell>
        </row>
        <row r="955">
          <cell r="AG955" t="str">
            <v>ЮНГ</v>
          </cell>
        </row>
        <row r="956">
          <cell r="AG956" t="str">
            <v>ЮНГ</v>
          </cell>
        </row>
        <row r="957">
          <cell r="AG957" t="str">
            <v>ЮНГ</v>
          </cell>
        </row>
        <row r="958">
          <cell r="AG958" t="str">
            <v>ЮНГ</v>
          </cell>
        </row>
        <row r="959">
          <cell r="AG959" t="str">
            <v>ЮНГ</v>
          </cell>
        </row>
        <row r="960">
          <cell r="AG960" t="str">
            <v>ЮНГ</v>
          </cell>
        </row>
        <row r="961">
          <cell r="AG961" t="str">
            <v>ЮНГ</v>
          </cell>
        </row>
        <row r="962">
          <cell r="AG962" t="str">
            <v>ЮНГ</v>
          </cell>
        </row>
        <row r="963">
          <cell r="AG963" t="str">
            <v>ЮНГ</v>
          </cell>
        </row>
        <row r="964">
          <cell r="AG964" t="str">
            <v>ЮНГ</v>
          </cell>
        </row>
        <row r="965">
          <cell r="AG965" t="str">
            <v>ЮНГ</v>
          </cell>
        </row>
        <row r="966">
          <cell r="AG966" t="str">
            <v>ЮНГ</v>
          </cell>
        </row>
        <row r="967">
          <cell r="AG967" t="str">
            <v>ЮНГ</v>
          </cell>
        </row>
        <row r="968">
          <cell r="AG968" t="str">
            <v>ЮНГ</v>
          </cell>
        </row>
        <row r="969">
          <cell r="AG969" t="str">
            <v>ЮНГ</v>
          </cell>
        </row>
        <row r="970">
          <cell r="AG970" t="str">
            <v>ЮНГ</v>
          </cell>
        </row>
        <row r="971">
          <cell r="AG971" t="str">
            <v>ЮНГ</v>
          </cell>
        </row>
        <row r="972">
          <cell r="AG972" t="str">
            <v>ЮНГ</v>
          </cell>
        </row>
        <row r="973">
          <cell r="AG973" t="str">
            <v>ЮНГ</v>
          </cell>
        </row>
        <row r="974">
          <cell r="AG974" t="str">
            <v>ЮНГ</v>
          </cell>
        </row>
        <row r="975">
          <cell r="AG975" t="str">
            <v>ЮНГ</v>
          </cell>
        </row>
        <row r="976">
          <cell r="AG976" t="str">
            <v>ЮНГ</v>
          </cell>
        </row>
        <row r="977">
          <cell r="AG977" t="str">
            <v>ЮНГ</v>
          </cell>
        </row>
        <row r="978">
          <cell r="AG978" t="str">
            <v>ЮНГ</v>
          </cell>
        </row>
        <row r="979">
          <cell r="AG979" t="str">
            <v>ЮНГ</v>
          </cell>
        </row>
        <row r="980">
          <cell r="AG980" t="str">
            <v>ЮНГ</v>
          </cell>
        </row>
        <row r="981">
          <cell r="AG981" t="str">
            <v>ЮНГ</v>
          </cell>
        </row>
        <row r="982">
          <cell r="AG982" t="str">
            <v>ЮНГ</v>
          </cell>
        </row>
        <row r="983">
          <cell r="AG983" t="str">
            <v>ЮНГ</v>
          </cell>
        </row>
        <row r="984">
          <cell r="AG984" t="str">
            <v>ЮНГ</v>
          </cell>
        </row>
        <row r="985">
          <cell r="AG985" t="str">
            <v>ЮНГ</v>
          </cell>
        </row>
        <row r="986">
          <cell r="AG986" t="str">
            <v>ЮНГ</v>
          </cell>
        </row>
        <row r="987">
          <cell r="AG987" t="str">
            <v>ЮНГ</v>
          </cell>
        </row>
        <row r="988">
          <cell r="AG988" t="str">
            <v>ЮНГ</v>
          </cell>
        </row>
        <row r="989">
          <cell r="AG989" t="str">
            <v>ЮНГ</v>
          </cell>
        </row>
        <row r="990">
          <cell r="AG990" t="str">
            <v>ЮНГ</v>
          </cell>
        </row>
        <row r="991">
          <cell r="AG991" t="str">
            <v>ЮНГ</v>
          </cell>
        </row>
        <row r="992">
          <cell r="AG992" t="str">
            <v>ЮНГ</v>
          </cell>
        </row>
        <row r="993">
          <cell r="AG993" t="str">
            <v>ЮНГ</v>
          </cell>
        </row>
        <row r="994">
          <cell r="AG994" t="str">
            <v>ЮНГ</v>
          </cell>
        </row>
        <row r="995">
          <cell r="AG995" t="str">
            <v>ЮНГ</v>
          </cell>
        </row>
        <row r="996">
          <cell r="AG996" t="str">
            <v>ЮНГ</v>
          </cell>
        </row>
        <row r="997">
          <cell r="AG997" t="str">
            <v>ЮНГ</v>
          </cell>
        </row>
        <row r="998">
          <cell r="AG998" t="str">
            <v>ЮНГ</v>
          </cell>
        </row>
        <row r="999">
          <cell r="AG999" t="str">
            <v>ЮНГ</v>
          </cell>
        </row>
        <row r="1000">
          <cell r="AG1000" t="str">
            <v>ЮНГ</v>
          </cell>
        </row>
        <row r="1001">
          <cell r="AG1001" t="str">
            <v>ЮНГ</v>
          </cell>
        </row>
        <row r="1002">
          <cell r="AG1002" t="str">
            <v>ЮНГ</v>
          </cell>
        </row>
        <row r="1003">
          <cell r="AG1003" t="str">
            <v>ЮНГ</v>
          </cell>
        </row>
        <row r="1004">
          <cell r="AG1004" t="str">
            <v>ЮНГ</v>
          </cell>
        </row>
        <row r="1005">
          <cell r="AG1005" t="str">
            <v>ЮНГ</v>
          </cell>
        </row>
        <row r="1006">
          <cell r="AG1006" t="str">
            <v>ЮНГ</v>
          </cell>
        </row>
        <row r="1007">
          <cell r="AG1007" t="str">
            <v>ЮНГ</v>
          </cell>
        </row>
        <row r="1008">
          <cell r="AG1008" t="str">
            <v>ЮНГ</v>
          </cell>
        </row>
        <row r="1009">
          <cell r="AG1009" t="str">
            <v>ЮНГ</v>
          </cell>
        </row>
        <row r="1010">
          <cell r="AG1010" t="str">
            <v>ЮНГ</v>
          </cell>
        </row>
        <row r="1011">
          <cell r="AG1011" t="str">
            <v>ЮНГ</v>
          </cell>
        </row>
        <row r="1012">
          <cell r="AG1012" t="str">
            <v>ЮНГ</v>
          </cell>
        </row>
        <row r="1013">
          <cell r="AG1013" t="str">
            <v>ЮНГ</v>
          </cell>
        </row>
        <row r="1014">
          <cell r="AG1014" t="str">
            <v>ЮНГ</v>
          </cell>
        </row>
        <row r="1015">
          <cell r="AG1015" t="str">
            <v>ЮНГ</v>
          </cell>
        </row>
        <row r="1016">
          <cell r="AG1016" t="str">
            <v>ЮНГ</v>
          </cell>
        </row>
        <row r="1017">
          <cell r="AG1017" t="str">
            <v>ЮНГ</v>
          </cell>
        </row>
        <row r="1018">
          <cell r="AG1018" t="str">
            <v>ЮНГ</v>
          </cell>
        </row>
        <row r="1019">
          <cell r="AG1019" t="str">
            <v>ЮНГ</v>
          </cell>
        </row>
        <row r="1020">
          <cell r="AG1020" t="str">
            <v>ЮНГ</v>
          </cell>
        </row>
        <row r="1021">
          <cell r="AG1021" t="str">
            <v>ЮНГ</v>
          </cell>
        </row>
        <row r="1022">
          <cell r="AG1022" t="str">
            <v>ЮНГ</v>
          </cell>
        </row>
        <row r="1023">
          <cell r="AG1023" t="str">
            <v>ЮНГ</v>
          </cell>
        </row>
        <row r="1024">
          <cell r="AG1024" t="str">
            <v>ЮНГ</v>
          </cell>
        </row>
        <row r="1025">
          <cell r="AG1025" t="str">
            <v>ЮНГ</v>
          </cell>
        </row>
        <row r="1026">
          <cell r="AG1026" t="str">
            <v>ЮНГ</v>
          </cell>
        </row>
        <row r="1027">
          <cell r="AG1027" t="str">
            <v>ЮНГ</v>
          </cell>
        </row>
        <row r="1028">
          <cell r="AG1028" t="str">
            <v>ЮНГ</v>
          </cell>
        </row>
        <row r="1029">
          <cell r="AG1029" t="str">
            <v>ЮНГ</v>
          </cell>
        </row>
        <row r="1030">
          <cell r="AG1030" t="str">
            <v>ЮНГ</v>
          </cell>
        </row>
        <row r="1031">
          <cell r="AG1031" t="str">
            <v>ЮНГ</v>
          </cell>
        </row>
        <row r="1032">
          <cell r="AG1032" t="str">
            <v>ЮНГ</v>
          </cell>
        </row>
        <row r="1033">
          <cell r="AG1033" t="str">
            <v>ЮНГ</v>
          </cell>
        </row>
        <row r="1034">
          <cell r="AG1034" t="str">
            <v>ЮНГ</v>
          </cell>
        </row>
        <row r="1035">
          <cell r="AG1035" t="str">
            <v>ЮНГ</v>
          </cell>
        </row>
        <row r="1036">
          <cell r="AG1036" t="str">
            <v>ЮНГ</v>
          </cell>
        </row>
        <row r="1037">
          <cell r="AG1037" t="str">
            <v>ЮНГ</v>
          </cell>
        </row>
        <row r="1038">
          <cell r="AG1038" t="str">
            <v>ЮНГ</v>
          </cell>
        </row>
        <row r="1039">
          <cell r="AG1039" t="str">
            <v>ЮНГ</v>
          </cell>
        </row>
        <row r="1040">
          <cell r="AG1040" t="str">
            <v>ЮНГ</v>
          </cell>
        </row>
        <row r="1041">
          <cell r="AG1041" t="str">
            <v>ЮНГ</v>
          </cell>
        </row>
        <row r="1042">
          <cell r="AG1042" t="str">
            <v>ЮНГ</v>
          </cell>
        </row>
        <row r="1043">
          <cell r="AG1043" t="str">
            <v>ЮНГ</v>
          </cell>
        </row>
        <row r="1044">
          <cell r="AG1044" t="str">
            <v>ЮНГ</v>
          </cell>
        </row>
        <row r="1045">
          <cell r="AG1045" t="str">
            <v>ЮНГ</v>
          </cell>
        </row>
        <row r="1046">
          <cell r="AG1046" t="str">
            <v>ЮНГ</v>
          </cell>
        </row>
        <row r="1047">
          <cell r="AG1047" t="str">
            <v>ЮНГ</v>
          </cell>
        </row>
        <row r="1048">
          <cell r="AG1048" t="str">
            <v>ЮНГ</v>
          </cell>
        </row>
        <row r="1049">
          <cell r="AG1049" t="str">
            <v>ЮНГ</v>
          </cell>
        </row>
        <row r="1050">
          <cell r="AG1050" t="str">
            <v>ЮНГ</v>
          </cell>
        </row>
        <row r="1051">
          <cell r="AG1051" t="str">
            <v>ЮНГ</v>
          </cell>
        </row>
        <row r="1052">
          <cell r="AG1052" t="str">
            <v>ЮНГ</v>
          </cell>
        </row>
        <row r="1053">
          <cell r="AG1053" t="str">
            <v>ЮНГ</v>
          </cell>
        </row>
        <row r="1054">
          <cell r="AG1054" t="str">
            <v>ЮНГ</v>
          </cell>
        </row>
        <row r="1055">
          <cell r="AG1055" t="str">
            <v>ЮНГ</v>
          </cell>
        </row>
        <row r="1056">
          <cell r="AG1056" t="str">
            <v>ЮНГ</v>
          </cell>
        </row>
        <row r="1057">
          <cell r="AG1057" t="str">
            <v>ЮНГ</v>
          </cell>
        </row>
        <row r="1058">
          <cell r="AG1058" t="str">
            <v>ЮНГ</v>
          </cell>
        </row>
        <row r="1059">
          <cell r="AG1059" t="str">
            <v>ЮНГ</v>
          </cell>
        </row>
        <row r="1060">
          <cell r="AG1060" t="str">
            <v>ЮНГ</v>
          </cell>
        </row>
        <row r="1061">
          <cell r="AG1061" t="str">
            <v>ЮНГ</v>
          </cell>
        </row>
        <row r="1062">
          <cell r="AG1062" t="str">
            <v>ЮНГ</v>
          </cell>
        </row>
        <row r="1063">
          <cell r="AG1063" t="str">
            <v>ЮНГ</v>
          </cell>
        </row>
        <row r="1064">
          <cell r="AG1064" t="str">
            <v>ЮНГ</v>
          </cell>
        </row>
        <row r="1065">
          <cell r="AG1065" t="str">
            <v>ЮНГ</v>
          </cell>
        </row>
        <row r="1066">
          <cell r="AG1066" t="str">
            <v>ЮНГ</v>
          </cell>
        </row>
        <row r="1067">
          <cell r="AG1067" t="str">
            <v>ЮНГ</v>
          </cell>
        </row>
        <row r="1068">
          <cell r="AG1068" t="str">
            <v>ЮНГ</v>
          </cell>
        </row>
        <row r="1069">
          <cell r="AG1069" t="str">
            <v>ЮНГ</v>
          </cell>
        </row>
        <row r="1070">
          <cell r="AG1070" t="str">
            <v>ЮНГ</v>
          </cell>
        </row>
        <row r="1071">
          <cell r="AG1071" t="str">
            <v>ЮНГ</v>
          </cell>
        </row>
        <row r="1072">
          <cell r="AG1072" t="str">
            <v>ЮНГ</v>
          </cell>
        </row>
        <row r="1073">
          <cell r="AG1073" t="str">
            <v>ЮНГ</v>
          </cell>
        </row>
        <row r="1074">
          <cell r="AG1074" t="str">
            <v>ЮНГ</v>
          </cell>
        </row>
        <row r="1075">
          <cell r="AG1075" t="str">
            <v>ЮНГ</v>
          </cell>
        </row>
        <row r="1076">
          <cell r="AG1076" t="str">
            <v>ЮНГ</v>
          </cell>
        </row>
        <row r="1077">
          <cell r="AG1077" t="str">
            <v>ЮНГ</v>
          </cell>
        </row>
        <row r="1078">
          <cell r="AG1078" t="str">
            <v>ЮНГ</v>
          </cell>
        </row>
        <row r="1079">
          <cell r="AG1079" t="str">
            <v>ЮНГ</v>
          </cell>
        </row>
        <row r="1080">
          <cell r="AG1080" t="str">
            <v>ЮНГ</v>
          </cell>
        </row>
        <row r="1081">
          <cell r="AG1081" t="str">
            <v>ЮНГ</v>
          </cell>
        </row>
        <row r="1082">
          <cell r="AG1082" t="str">
            <v>ЮНГ</v>
          </cell>
        </row>
        <row r="1083">
          <cell r="AG1083" t="str">
            <v>ЮНГ</v>
          </cell>
        </row>
        <row r="1084">
          <cell r="AG1084" t="str">
            <v>ЮНГ</v>
          </cell>
        </row>
        <row r="1085">
          <cell r="AG1085" t="str">
            <v>ЮНГ</v>
          </cell>
        </row>
        <row r="1086">
          <cell r="AG1086" t="str">
            <v>ЮНГ</v>
          </cell>
        </row>
        <row r="1087">
          <cell r="AG1087" t="str">
            <v>ЮНГ</v>
          </cell>
        </row>
        <row r="1088">
          <cell r="AG1088" t="str">
            <v>ЮНГ</v>
          </cell>
        </row>
        <row r="1089">
          <cell r="AG1089" t="str">
            <v>ЮНГ</v>
          </cell>
        </row>
        <row r="1090">
          <cell r="AG1090" t="str">
            <v>ЮНГ</v>
          </cell>
        </row>
        <row r="1091">
          <cell r="AG1091" t="str">
            <v>ЮНГ</v>
          </cell>
        </row>
        <row r="1092">
          <cell r="AG1092" t="str">
            <v>ЮНГ</v>
          </cell>
        </row>
        <row r="1093">
          <cell r="AG1093" t="str">
            <v>ЮНГ</v>
          </cell>
        </row>
        <row r="1094">
          <cell r="AG1094" t="str">
            <v>ЮНГ</v>
          </cell>
        </row>
        <row r="1095">
          <cell r="AG1095" t="str">
            <v>ЮНГ</v>
          </cell>
        </row>
        <row r="1096">
          <cell r="AG1096" t="str">
            <v>ЮНГ</v>
          </cell>
        </row>
        <row r="1097">
          <cell r="AG1097" t="str">
            <v>ЮНГ</v>
          </cell>
        </row>
        <row r="1098">
          <cell r="AG1098" t="str">
            <v>ЮНГ</v>
          </cell>
        </row>
        <row r="1099">
          <cell r="AG1099" t="str">
            <v>ЮНГ</v>
          </cell>
        </row>
        <row r="1100">
          <cell r="AG1100" t="str">
            <v>ЮНГ</v>
          </cell>
        </row>
        <row r="1101">
          <cell r="AG1101" t="str">
            <v>ЮНГ</v>
          </cell>
        </row>
        <row r="1102">
          <cell r="AG1102" t="str">
            <v>ЮНГ</v>
          </cell>
        </row>
        <row r="1103">
          <cell r="AG1103" t="str">
            <v>ЮНГ</v>
          </cell>
        </row>
        <row r="1104">
          <cell r="AG1104" t="str">
            <v>ЮНГ</v>
          </cell>
        </row>
        <row r="1105">
          <cell r="AG1105" t="str">
            <v>ЮНГ</v>
          </cell>
        </row>
        <row r="1106">
          <cell r="AG1106" t="str">
            <v>ЮНГ</v>
          </cell>
        </row>
        <row r="1107">
          <cell r="AG1107" t="str">
            <v>ЮНГ</v>
          </cell>
        </row>
        <row r="1108">
          <cell r="AG1108" t="str">
            <v>ЮНГ</v>
          </cell>
        </row>
        <row r="1109">
          <cell r="AG1109" t="str">
            <v>ЮНГ</v>
          </cell>
        </row>
        <row r="1110">
          <cell r="AG1110" t="str">
            <v>ЮНГ</v>
          </cell>
        </row>
        <row r="1111">
          <cell r="AG1111" t="str">
            <v>ЮНГ</v>
          </cell>
        </row>
        <row r="1112">
          <cell r="AG1112" t="str">
            <v>ЮНГ</v>
          </cell>
        </row>
        <row r="1113">
          <cell r="AG1113" t="str">
            <v>ЮНГ</v>
          </cell>
        </row>
        <row r="1114">
          <cell r="AG1114" t="str">
            <v>ЮНГ</v>
          </cell>
        </row>
        <row r="1115">
          <cell r="AG1115" t="str">
            <v>ЮНГ</v>
          </cell>
        </row>
        <row r="1116">
          <cell r="AG1116" t="str">
            <v>ЮНГ</v>
          </cell>
        </row>
        <row r="1117">
          <cell r="AG1117" t="str">
            <v>ЮНГ</v>
          </cell>
        </row>
        <row r="1118">
          <cell r="AG1118" t="str">
            <v>ЮНГ</v>
          </cell>
        </row>
        <row r="1119">
          <cell r="AG1119" t="str">
            <v>ЮНГ</v>
          </cell>
        </row>
        <row r="1120">
          <cell r="AG1120" t="str">
            <v>ЮНГ</v>
          </cell>
        </row>
        <row r="1121">
          <cell r="AG1121" t="str">
            <v>ЮНГ</v>
          </cell>
        </row>
        <row r="1122">
          <cell r="AG1122" t="str">
            <v>ЮНГ</v>
          </cell>
        </row>
        <row r="1123">
          <cell r="AG1123" t="str">
            <v>ЮНГ</v>
          </cell>
        </row>
        <row r="1124">
          <cell r="AG1124" t="str">
            <v>ЮНГ</v>
          </cell>
        </row>
        <row r="1125">
          <cell r="AG1125" t="str">
            <v>ЮНГ</v>
          </cell>
        </row>
        <row r="1126">
          <cell r="AG1126" t="str">
            <v>ЮНГ</v>
          </cell>
        </row>
        <row r="1127">
          <cell r="AG1127" t="str">
            <v>ЮНГ</v>
          </cell>
        </row>
        <row r="1128">
          <cell r="AG1128" t="str">
            <v>ЮНГ</v>
          </cell>
        </row>
        <row r="1129">
          <cell r="AG1129" t="str">
            <v>ЮНГ</v>
          </cell>
        </row>
        <row r="1130">
          <cell r="AG1130" t="str">
            <v>ЮНГ</v>
          </cell>
        </row>
        <row r="1131">
          <cell r="AG1131" t="str">
            <v>ЮНГ</v>
          </cell>
        </row>
        <row r="1132">
          <cell r="AG1132" t="str">
            <v>ЮНГ</v>
          </cell>
        </row>
        <row r="1133">
          <cell r="AG1133" t="str">
            <v>ЮНГ</v>
          </cell>
        </row>
        <row r="1134">
          <cell r="AG1134" t="str">
            <v>ЮНГ</v>
          </cell>
        </row>
        <row r="1135">
          <cell r="AG1135" t="str">
            <v>ЮНГ</v>
          </cell>
        </row>
        <row r="1136">
          <cell r="AG1136" t="str">
            <v>ЮНГ</v>
          </cell>
        </row>
        <row r="1137">
          <cell r="AG1137" t="str">
            <v>ЮНГ</v>
          </cell>
        </row>
        <row r="1138">
          <cell r="AG1138" t="str">
            <v>ЮНГ</v>
          </cell>
        </row>
        <row r="1139">
          <cell r="AG1139" t="str">
            <v>ЮНГ</v>
          </cell>
        </row>
        <row r="1140">
          <cell r="AG1140" t="str">
            <v>ЮНГ</v>
          </cell>
        </row>
        <row r="1141">
          <cell r="AG1141" t="str">
            <v>ЮНГ</v>
          </cell>
        </row>
        <row r="1142">
          <cell r="AG1142" t="str">
            <v>ЮНГ</v>
          </cell>
        </row>
        <row r="1143">
          <cell r="AG1143" t="str">
            <v>ЮНГ</v>
          </cell>
        </row>
        <row r="1144">
          <cell r="AG1144" t="str">
            <v>ЮНГ</v>
          </cell>
        </row>
        <row r="1145">
          <cell r="AG1145" t="str">
            <v>ЮНГ</v>
          </cell>
        </row>
        <row r="1146">
          <cell r="AG1146" t="str">
            <v>ЮНГ</v>
          </cell>
        </row>
        <row r="1147">
          <cell r="AG1147" t="str">
            <v>ЮНГ</v>
          </cell>
        </row>
        <row r="1148">
          <cell r="AG1148" t="str">
            <v>ЮНГ</v>
          </cell>
        </row>
        <row r="1149">
          <cell r="AG1149" t="str">
            <v>ЮНГ</v>
          </cell>
        </row>
        <row r="1150">
          <cell r="AG1150" t="str">
            <v>ЮНГ</v>
          </cell>
        </row>
        <row r="1151">
          <cell r="AG1151" t="str">
            <v>ЮНГ</v>
          </cell>
        </row>
        <row r="1152">
          <cell r="AG1152" t="str">
            <v>ЮНГ</v>
          </cell>
        </row>
        <row r="1153">
          <cell r="AG1153" t="str">
            <v>ЮНГ</v>
          </cell>
        </row>
        <row r="1154">
          <cell r="AG1154" t="str">
            <v>ЮНГ</v>
          </cell>
        </row>
        <row r="1155">
          <cell r="AG1155" t="str">
            <v>ЮНГ</v>
          </cell>
        </row>
        <row r="1156">
          <cell r="AG1156" t="str">
            <v>ЮНГ</v>
          </cell>
        </row>
        <row r="1157">
          <cell r="AG1157" t="str">
            <v>ЮНГ</v>
          </cell>
        </row>
        <row r="1158">
          <cell r="AG1158" t="str">
            <v>ЮНГ</v>
          </cell>
        </row>
        <row r="1159">
          <cell r="AG1159" t="str">
            <v>ЮНГ</v>
          </cell>
        </row>
        <row r="1160">
          <cell r="AG1160" t="str">
            <v>ЮНГ</v>
          </cell>
        </row>
        <row r="1161">
          <cell r="AG1161" t="str">
            <v>ЮНГ</v>
          </cell>
        </row>
        <row r="1162">
          <cell r="AG1162" t="str">
            <v>ЮНГ</v>
          </cell>
        </row>
        <row r="1163">
          <cell r="AG1163" t="str">
            <v>ЮНГ</v>
          </cell>
        </row>
        <row r="1164">
          <cell r="AG1164" t="str">
            <v>ЮНГ</v>
          </cell>
        </row>
        <row r="1165">
          <cell r="AG1165" t="str">
            <v>ЮНГ</v>
          </cell>
        </row>
        <row r="1166">
          <cell r="AG1166" t="str">
            <v>ЮНГ</v>
          </cell>
        </row>
        <row r="1167">
          <cell r="AG1167" t="str">
            <v>ЮНГ</v>
          </cell>
        </row>
        <row r="1168">
          <cell r="AG1168" t="str">
            <v>ЮНГ</v>
          </cell>
        </row>
        <row r="1169">
          <cell r="AG1169" t="str">
            <v>ЮНГ</v>
          </cell>
        </row>
        <row r="1170">
          <cell r="AG1170" t="str">
            <v>ЮНГ</v>
          </cell>
        </row>
        <row r="1171">
          <cell r="AG1171" t="str">
            <v>ЮНГ</v>
          </cell>
        </row>
        <row r="1172">
          <cell r="AG1172" t="str">
            <v>ЮНГ</v>
          </cell>
        </row>
        <row r="1173">
          <cell r="AG1173" t="str">
            <v>ЮНГ</v>
          </cell>
        </row>
        <row r="1174">
          <cell r="AG1174" t="str">
            <v>ЮНГ</v>
          </cell>
        </row>
        <row r="1175">
          <cell r="AG1175" t="str">
            <v>ЮНГ</v>
          </cell>
        </row>
        <row r="1176">
          <cell r="AG1176" t="str">
            <v>ЮНГ</v>
          </cell>
        </row>
        <row r="1177">
          <cell r="AG1177" t="str">
            <v>ЮНГ</v>
          </cell>
        </row>
        <row r="1178">
          <cell r="AG1178" t="str">
            <v>ЮНГ</v>
          </cell>
        </row>
        <row r="1179">
          <cell r="AG1179" t="str">
            <v>ЮНГ</v>
          </cell>
        </row>
        <row r="1180">
          <cell r="AG1180" t="str">
            <v>ЮНГ</v>
          </cell>
        </row>
        <row r="1181">
          <cell r="AG1181" t="str">
            <v>ЮНГ</v>
          </cell>
        </row>
        <row r="1182">
          <cell r="AG1182" t="str">
            <v>ЮНГ</v>
          </cell>
        </row>
        <row r="1183">
          <cell r="AG1183" t="str">
            <v>ЮНГ</v>
          </cell>
        </row>
        <row r="1184">
          <cell r="AG1184" t="str">
            <v>ЮНГ</v>
          </cell>
        </row>
        <row r="1185">
          <cell r="AG1185" t="str">
            <v>ЮНГ</v>
          </cell>
        </row>
        <row r="1186">
          <cell r="AG1186" t="str">
            <v>ЮНГ</v>
          </cell>
        </row>
        <row r="1187">
          <cell r="AG1187" t="str">
            <v>ЮНГ</v>
          </cell>
        </row>
        <row r="1188">
          <cell r="AG1188" t="str">
            <v>ЮНГ</v>
          </cell>
        </row>
        <row r="1189">
          <cell r="AG1189" t="str">
            <v>ЮНГ</v>
          </cell>
        </row>
        <row r="1190">
          <cell r="AG1190" t="str">
            <v>ЮНГ</v>
          </cell>
        </row>
        <row r="1191">
          <cell r="AG1191" t="str">
            <v>ЮНГ</v>
          </cell>
        </row>
        <row r="1192">
          <cell r="AG1192" t="str">
            <v>ЮНГ</v>
          </cell>
        </row>
        <row r="1193">
          <cell r="AG1193" t="str">
            <v>ЮНГ</v>
          </cell>
        </row>
        <row r="1194">
          <cell r="AG1194" t="str">
            <v>ЮНГ</v>
          </cell>
        </row>
        <row r="1195">
          <cell r="AG1195" t="str">
            <v>ЮНГ</v>
          </cell>
        </row>
        <row r="1196">
          <cell r="AG1196" t="str">
            <v>ЮНГ</v>
          </cell>
        </row>
        <row r="1197">
          <cell r="AG1197" t="str">
            <v>ЮНГ</v>
          </cell>
        </row>
        <row r="1198">
          <cell r="AG1198" t="str">
            <v>ЮНГ</v>
          </cell>
        </row>
        <row r="1199">
          <cell r="AG1199" t="str">
            <v>ЮНГ</v>
          </cell>
        </row>
        <row r="1200">
          <cell r="AG1200" t="str">
            <v>ЮНГ</v>
          </cell>
        </row>
        <row r="1201">
          <cell r="AG1201" t="str">
            <v>ЮНГ</v>
          </cell>
        </row>
        <row r="1202">
          <cell r="AG1202" t="str">
            <v>ЮНГ</v>
          </cell>
        </row>
        <row r="1203">
          <cell r="AG1203" t="str">
            <v>ЮНГ</v>
          </cell>
        </row>
        <row r="1204">
          <cell r="AG1204" t="str">
            <v>ЮНГ</v>
          </cell>
        </row>
        <row r="1205">
          <cell r="AG1205" t="str">
            <v>ЮНГ</v>
          </cell>
        </row>
        <row r="1206">
          <cell r="AG1206" t="str">
            <v>ЮНГ</v>
          </cell>
        </row>
        <row r="1207">
          <cell r="AG1207" t="str">
            <v>ЮНГ</v>
          </cell>
        </row>
        <row r="1208">
          <cell r="AG1208" t="str">
            <v>ЮНГ</v>
          </cell>
        </row>
        <row r="1209">
          <cell r="AG1209" t="str">
            <v>ЮНГ</v>
          </cell>
        </row>
        <row r="1210">
          <cell r="AG1210" t="str">
            <v>ЮНГ</v>
          </cell>
        </row>
        <row r="1211">
          <cell r="AG1211" t="str">
            <v>ЮНГ</v>
          </cell>
        </row>
        <row r="1212">
          <cell r="AG1212" t="str">
            <v>ЮНГ</v>
          </cell>
        </row>
        <row r="1213">
          <cell r="AG1213" t="str">
            <v>ЮНГ</v>
          </cell>
        </row>
        <row r="1214">
          <cell r="AG1214" t="str">
            <v>ЮНГ</v>
          </cell>
        </row>
        <row r="1215">
          <cell r="AG1215" t="str">
            <v>ЮНГ</v>
          </cell>
        </row>
        <row r="1216">
          <cell r="AG1216" t="str">
            <v>ЮНГ</v>
          </cell>
        </row>
        <row r="1217">
          <cell r="AG1217" t="str">
            <v>ЮНГ</v>
          </cell>
        </row>
        <row r="1218">
          <cell r="AG1218" t="str">
            <v>ЮНГ</v>
          </cell>
        </row>
        <row r="1219">
          <cell r="AG1219" t="str">
            <v>ЮНГ</v>
          </cell>
        </row>
        <row r="1220">
          <cell r="AG1220" t="str">
            <v>ЮНГ</v>
          </cell>
        </row>
        <row r="1221">
          <cell r="AG1221" t="str">
            <v>ЮНГ</v>
          </cell>
        </row>
        <row r="1222">
          <cell r="AG1222" t="str">
            <v>ЮНГ</v>
          </cell>
        </row>
        <row r="1223">
          <cell r="AG1223" t="str">
            <v>ЮНГ</v>
          </cell>
        </row>
        <row r="1224">
          <cell r="AG1224" t="str">
            <v>ЮНГ</v>
          </cell>
        </row>
        <row r="1225">
          <cell r="AG1225" t="str">
            <v>ЮНГ</v>
          </cell>
        </row>
        <row r="1226">
          <cell r="AG1226" t="str">
            <v>ЮНГ</v>
          </cell>
        </row>
        <row r="1227">
          <cell r="AG1227" t="str">
            <v>ЮНГ</v>
          </cell>
        </row>
        <row r="1228">
          <cell r="AG1228" t="str">
            <v>ЮНГ</v>
          </cell>
        </row>
        <row r="1229">
          <cell r="AG1229" t="str">
            <v>ЮНГ</v>
          </cell>
        </row>
        <row r="1230">
          <cell r="AG1230" t="str">
            <v>ЮНГ</v>
          </cell>
        </row>
        <row r="1231">
          <cell r="AG1231" t="str">
            <v>ЮНГ</v>
          </cell>
        </row>
        <row r="1232">
          <cell r="AG1232" t="str">
            <v>ЮНГ</v>
          </cell>
        </row>
        <row r="1233">
          <cell r="AG1233" t="str">
            <v>ЮНГ</v>
          </cell>
        </row>
        <row r="1234">
          <cell r="AG1234" t="str">
            <v>ЮНГ</v>
          </cell>
        </row>
        <row r="1235">
          <cell r="AG1235" t="str">
            <v>ЮНГ</v>
          </cell>
        </row>
        <row r="1236">
          <cell r="AG1236" t="str">
            <v>ЮНГ</v>
          </cell>
        </row>
        <row r="1237">
          <cell r="AG1237" t="str">
            <v>ЮНГ</v>
          </cell>
        </row>
        <row r="1238">
          <cell r="AG1238" t="str">
            <v>ЮНГ</v>
          </cell>
        </row>
        <row r="1239">
          <cell r="AG1239" t="str">
            <v>ЮНГ</v>
          </cell>
        </row>
        <row r="1240">
          <cell r="AG1240" t="str">
            <v>ЮНГ</v>
          </cell>
        </row>
        <row r="1241">
          <cell r="AG1241" t="str">
            <v>ЮНГ</v>
          </cell>
        </row>
        <row r="1242">
          <cell r="AG1242" t="str">
            <v>ЮНГ</v>
          </cell>
        </row>
        <row r="1243">
          <cell r="AG1243" t="str">
            <v>ЮНГ</v>
          </cell>
        </row>
        <row r="1244">
          <cell r="AG1244" t="str">
            <v>ЮНГ</v>
          </cell>
        </row>
        <row r="1245">
          <cell r="AG1245" t="str">
            <v>ЮНГ</v>
          </cell>
        </row>
        <row r="1246">
          <cell r="AG1246" t="str">
            <v>ЮНГ</v>
          </cell>
        </row>
        <row r="1247">
          <cell r="AG1247" t="str">
            <v>ЮНГ</v>
          </cell>
        </row>
        <row r="1248">
          <cell r="AG1248" t="str">
            <v>ЮНГ</v>
          </cell>
        </row>
        <row r="1249">
          <cell r="AG1249" t="str">
            <v>ЮНГ</v>
          </cell>
        </row>
        <row r="1250">
          <cell r="AG1250" t="str">
            <v>ЮНГ</v>
          </cell>
        </row>
        <row r="1251">
          <cell r="AG1251" t="str">
            <v>ЮНГ</v>
          </cell>
        </row>
        <row r="1252">
          <cell r="AG1252" t="str">
            <v>ЮНГ</v>
          </cell>
        </row>
        <row r="1253">
          <cell r="AG1253" t="str">
            <v>ЮНГ</v>
          </cell>
        </row>
        <row r="1254">
          <cell r="AG1254" t="str">
            <v>ЮНГ</v>
          </cell>
        </row>
        <row r="1255">
          <cell r="AG1255" t="str">
            <v>ЮНГ</v>
          </cell>
        </row>
        <row r="1256">
          <cell r="AG1256" t="str">
            <v>ЮНГ</v>
          </cell>
        </row>
        <row r="1257">
          <cell r="AG1257" t="str">
            <v>ЮНГ</v>
          </cell>
        </row>
        <row r="1258">
          <cell r="AG1258" t="str">
            <v>ЮНГ</v>
          </cell>
        </row>
        <row r="1259">
          <cell r="AG1259" t="str">
            <v>ЮНГ</v>
          </cell>
        </row>
        <row r="1260">
          <cell r="AG1260" t="str">
            <v>ЮНГ</v>
          </cell>
        </row>
        <row r="1261">
          <cell r="AG1261" t="str">
            <v>ЮНГ</v>
          </cell>
        </row>
        <row r="1262">
          <cell r="AG1262" t="str">
            <v>ЮНГ</v>
          </cell>
        </row>
        <row r="1263">
          <cell r="AG1263" t="str">
            <v>ЮНГ</v>
          </cell>
        </row>
        <row r="1264">
          <cell r="AG1264" t="str">
            <v>ЮНГ</v>
          </cell>
        </row>
        <row r="1265">
          <cell r="AG1265" t="str">
            <v>ЮНГ</v>
          </cell>
        </row>
        <row r="1266">
          <cell r="AG1266" t="str">
            <v>ЮНГ</v>
          </cell>
        </row>
        <row r="1267">
          <cell r="AG1267" t="str">
            <v>ЮНГ</v>
          </cell>
        </row>
        <row r="1268">
          <cell r="AG1268" t="str">
            <v>ЮНГ</v>
          </cell>
        </row>
        <row r="1269">
          <cell r="AG1269" t="str">
            <v>ЮНГ</v>
          </cell>
        </row>
        <row r="1270">
          <cell r="AG1270" t="str">
            <v>ЮНГ</v>
          </cell>
        </row>
        <row r="1271">
          <cell r="AG1271" t="str">
            <v>ЮНГ</v>
          </cell>
        </row>
        <row r="1272">
          <cell r="AG1272" t="str">
            <v>ЮНГ</v>
          </cell>
        </row>
        <row r="1273">
          <cell r="AG1273" t="str">
            <v>ЮНГ</v>
          </cell>
        </row>
        <row r="1274">
          <cell r="AG1274" t="str">
            <v>ЮНГ</v>
          </cell>
        </row>
        <row r="1275">
          <cell r="AG1275" t="str">
            <v>ЮНГ</v>
          </cell>
        </row>
        <row r="1276">
          <cell r="AG1276" t="str">
            <v>ЮНГ</v>
          </cell>
        </row>
        <row r="1277">
          <cell r="AG1277" t="str">
            <v>ЮНГ</v>
          </cell>
        </row>
        <row r="1278">
          <cell r="AG1278" t="str">
            <v>ЮНГ</v>
          </cell>
        </row>
        <row r="1279">
          <cell r="AG1279" t="str">
            <v>ЮНГ</v>
          </cell>
        </row>
        <row r="1280">
          <cell r="AG1280" t="str">
            <v>ЮНГ</v>
          </cell>
        </row>
        <row r="1281">
          <cell r="AG1281" t="str">
            <v>ЮНГ</v>
          </cell>
        </row>
        <row r="1282">
          <cell r="AG1282" t="str">
            <v>ЮНГ</v>
          </cell>
        </row>
        <row r="1283">
          <cell r="AG1283" t="str">
            <v>ЮНГ</v>
          </cell>
        </row>
        <row r="1284">
          <cell r="AG1284" t="str">
            <v>ЮНГ</v>
          </cell>
        </row>
        <row r="1285">
          <cell r="AG1285" t="str">
            <v>ЮНГ</v>
          </cell>
        </row>
        <row r="1286">
          <cell r="AG1286" t="str">
            <v>ЮНГ</v>
          </cell>
        </row>
        <row r="1287">
          <cell r="AG1287" t="str">
            <v>ЮНГ</v>
          </cell>
        </row>
        <row r="1288">
          <cell r="AG1288" t="str">
            <v>ЮНГ</v>
          </cell>
        </row>
        <row r="1289">
          <cell r="AG1289" t="str">
            <v>ЮНГ</v>
          </cell>
        </row>
        <row r="1290">
          <cell r="AG1290" t="str">
            <v>ЮНГ</v>
          </cell>
        </row>
        <row r="1291">
          <cell r="AG1291" t="str">
            <v>ЮНГ</v>
          </cell>
        </row>
        <row r="1292">
          <cell r="AG1292" t="str">
            <v>ЮНГ</v>
          </cell>
        </row>
        <row r="1293">
          <cell r="AG1293" t="str">
            <v>ЮНГ</v>
          </cell>
        </row>
        <row r="1294">
          <cell r="AG1294" t="str">
            <v>ЮНГ</v>
          </cell>
        </row>
        <row r="1295">
          <cell r="AG1295" t="str">
            <v>ЮНГ</v>
          </cell>
        </row>
        <row r="1296">
          <cell r="AG1296" t="str">
            <v>ЮНГ</v>
          </cell>
        </row>
        <row r="1297">
          <cell r="AG1297" t="str">
            <v>ЮНГ</v>
          </cell>
        </row>
        <row r="1298">
          <cell r="AG1298" t="str">
            <v>ЮНГ</v>
          </cell>
        </row>
        <row r="1299">
          <cell r="AG1299" t="str">
            <v>ЮНГ</v>
          </cell>
        </row>
        <row r="1300">
          <cell r="AG1300" t="str">
            <v>ЮНГ</v>
          </cell>
        </row>
        <row r="1301">
          <cell r="AG1301" t="str">
            <v>ЮНГ</v>
          </cell>
        </row>
        <row r="1302">
          <cell r="AG1302" t="str">
            <v>ЮНГ</v>
          </cell>
        </row>
        <row r="1303">
          <cell r="AG1303" t="str">
            <v>ЮНГ</v>
          </cell>
        </row>
        <row r="1304">
          <cell r="AG1304" t="str">
            <v>ЮНГ</v>
          </cell>
        </row>
        <row r="1305">
          <cell r="AG1305" t="str">
            <v>ЮНГ</v>
          </cell>
        </row>
        <row r="1306">
          <cell r="AG1306" t="str">
            <v>ЮНГ</v>
          </cell>
        </row>
        <row r="1307">
          <cell r="AG1307" t="str">
            <v>ЮНГ</v>
          </cell>
        </row>
        <row r="1308">
          <cell r="AG1308" t="str">
            <v>ЮНГ</v>
          </cell>
        </row>
        <row r="1309">
          <cell r="AG1309" t="str">
            <v>ЮНГ</v>
          </cell>
        </row>
        <row r="1310">
          <cell r="AG1310" t="str">
            <v>ЮНГ</v>
          </cell>
        </row>
        <row r="1311">
          <cell r="AG1311" t="str">
            <v>ЮНГ</v>
          </cell>
        </row>
        <row r="1312">
          <cell r="AG1312" t="str">
            <v>ЮНГ</v>
          </cell>
        </row>
        <row r="1313">
          <cell r="AG1313" t="str">
            <v>ЮНГ</v>
          </cell>
        </row>
        <row r="1314">
          <cell r="AG1314" t="str">
            <v>ЮНГ</v>
          </cell>
        </row>
        <row r="1315">
          <cell r="AG1315" t="str">
            <v>ЮНГ</v>
          </cell>
        </row>
        <row r="1316">
          <cell r="AG1316" t="str">
            <v>ЮНГ</v>
          </cell>
        </row>
        <row r="1317">
          <cell r="AG1317" t="str">
            <v>ЮНГ</v>
          </cell>
        </row>
        <row r="1318">
          <cell r="AG1318" t="str">
            <v>ЮНГ</v>
          </cell>
        </row>
        <row r="1319">
          <cell r="AG1319" t="str">
            <v>ЮНГ</v>
          </cell>
        </row>
        <row r="1320">
          <cell r="AG1320" t="str">
            <v>ЮНГ</v>
          </cell>
        </row>
        <row r="1321">
          <cell r="AG1321" t="str">
            <v>ЮНГ</v>
          </cell>
        </row>
        <row r="1322">
          <cell r="AG1322" t="str">
            <v>ЮНГ</v>
          </cell>
        </row>
        <row r="1323">
          <cell r="AG1323" t="str">
            <v>ЮНГ</v>
          </cell>
        </row>
        <row r="1324">
          <cell r="AG1324" t="str">
            <v>ЮНГ</v>
          </cell>
        </row>
        <row r="1325">
          <cell r="AG1325" t="str">
            <v>ЮНГ</v>
          </cell>
        </row>
        <row r="1326">
          <cell r="AG1326" t="str">
            <v>ЮНГ</v>
          </cell>
        </row>
        <row r="1327">
          <cell r="AG1327" t="str">
            <v>ЮНГ</v>
          </cell>
        </row>
        <row r="1328">
          <cell r="AG1328" t="str">
            <v>ЮНГ</v>
          </cell>
        </row>
        <row r="1329">
          <cell r="AG1329" t="str">
            <v>ЮНГ</v>
          </cell>
        </row>
        <row r="1330">
          <cell r="AG1330" t="str">
            <v>ЮНГ</v>
          </cell>
        </row>
        <row r="1331">
          <cell r="AG1331" t="str">
            <v>ЮНГ</v>
          </cell>
        </row>
        <row r="1332">
          <cell r="AG1332" t="str">
            <v>ЮНГ</v>
          </cell>
        </row>
        <row r="1333">
          <cell r="AG1333" t="str">
            <v>ЮНГ</v>
          </cell>
        </row>
        <row r="1334">
          <cell r="AG1334" t="str">
            <v>ЮНГ</v>
          </cell>
        </row>
        <row r="1335">
          <cell r="AG1335" t="str">
            <v>ЮНГ</v>
          </cell>
        </row>
        <row r="1336">
          <cell r="AG1336" t="str">
            <v>ЮНГ</v>
          </cell>
        </row>
        <row r="1337">
          <cell r="AG1337" t="str">
            <v>ЮНГ</v>
          </cell>
        </row>
        <row r="1338">
          <cell r="AG1338" t="str">
            <v>ЮНГ</v>
          </cell>
        </row>
        <row r="1339">
          <cell r="AG1339" t="str">
            <v>ЮНГ</v>
          </cell>
        </row>
        <row r="1340">
          <cell r="AG1340" t="str">
            <v>ЮНГ</v>
          </cell>
        </row>
        <row r="1341">
          <cell r="AG1341" t="str">
            <v>ЮНГ</v>
          </cell>
        </row>
        <row r="1342">
          <cell r="AG1342" t="str">
            <v>ЮНГ</v>
          </cell>
        </row>
        <row r="1343">
          <cell r="AG1343" t="str">
            <v>ЮНГ</v>
          </cell>
        </row>
        <row r="1344">
          <cell r="AG1344" t="str">
            <v>ЮНГ</v>
          </cell>
        </row>
        <row r="1345">
          <cell r="AG1345" t="str">
            <v>ЮНГ</v>
          </cell>
        </row>
        <row r="1346">
          <cell r="AG1346" t="str">
            <v>ЮНГ</v>
          </cell>
        </row>
        <row r="1347">
          <cell r="AG1347" t="str">
            <v>ЮНГ</v>
          </cell>
        </row>
        <row r="1348">
          <cell r="AG1348" t="str">
            <v>ЮНГ</v>
          </cell>
        </row>
        <row r="1349">
          <cell r="AG1349" t="str">
            <v>ЮНГ</v>
          </cell>
        </row>
        <row r="1350">
          <cell r="AG1350" t="str">
            <v>ЮНГ</v>
          </cell>
        </row>
        <row r="1351">
          <cell r="AG1351" t="str">
            <v>ЮНГ</v>
          </cell>
        </row>
        <row r="1352">
          <cell r="AG1352" t="str">
            <v>ЮНГ</v>
          </cell>
        </row>
        <row r="1353">
          <cell r="AG1353" t="str">
            <v>ЮНГ</v>
          </cell>
        </row>
        <row r="1354">
          <cell r="AG1354" t="str">
            <v>ЮНГ</v>
          </cell>
        </row>
        <row r="1355">
          <cell r="AG1355" t="str">
            <v>ЮНГ</v>
          </cell>
        </row>
        <row r="1356">
          <cell r="AG1356" t="str">
            <v>ЮНГ</v>
          </cell>
        </row>
        <row r="1357">
          <cell r="AG1357" t="str">
            <v>ЮНГ</v>
          </cell>
        </row>
        <row r="1358">
          <cell r="AG1358" t="str">
            <v>ЮНГ</v>
          </cell>
        </row>
        <row r="1359">
          <cell r="AG1359" t="str">
            <v>ЮНГ</v>
          </cell>
        </row>
        <row r="1360">
          <cell r="AG1360" t="str">
            <v>ЮНГ</v>
          </cell>
        </row>
        <row r="1361">
          <cell r="AG1361" t="str">
            <v>ЮНГ</v>
          </cell>
        </row>
        <row r="1362">
          <cell r="AG1362" t="str">
            <v>ЮНГ</v>
          </cell>
        </row>
        <row r="1363">
          <cell r="AG1363" t="str">
            <v>ЮНГ</v>
          </cell>
        </row>
        <row r="1364">
          <cell r="AG1364" t="str">
            <v>ЮНГ</v>
          </cell>
        </row>
        <row r="1365">
          <cell r="AG1365" t="str">
            <v>ЮНГ</v>
          </cell>
        </row>
        <row r="1366">
          <cell r="AG1366" t="str">
            <v>ЮНГ</v>
          </cell>
        </row>
        <row r="1367">
          <cell r="AG1367" t="str">
            <v>ЮНГ</v>
          </cell>
        </row>
        <row r="1368">
          <cell r="AG1368" t="str">
            <v>ЮНГ</v>
          </cell>
        </row>
        <row r="1369">
          <cell r="AG1369" t="str">
            <v>ЮНГ</v>
          </cell>
        </row>
        <row r="1370">
          <cell r="AG1370" t="str">
            <v>ЮНГ</v>
          </cell>
        </row>
        <row r="1371">
          <cell r="AG1371" t="str">
            <v>ЮНГ</v>
          </cell>
        </row>
        <row r="1372">
          <cell r="AG1372" t="str">
            <v>ЮНГ</v>
          </cell>
        </row>
        <row r="1373">
          <cell r="AG1373" t="str">
            <v>ЮНГ</v>
          </cell>
        </row>
        <row r="1374">
          <cell r="AG1374" t="str">
            <v>ЮНГ</v>
          </cell>
        </row>
        <row r="1375">
          <cell r="AG1375" t="str">
            <v>ЮНГ</v>
          </cell>
        </row>
        <row r="1376">
          <cell r="AG1376" t="str">
            <v>ЮНГ</v>
          </cell>
        </row>
        <row r="1377">
          <cell r="AG1377" t="str">
            <v>ЮНГ</v>
          </cell>
        </row>
        <row r="1378">
          <cell r="AG1378" t="str">
            <v>ЮНГ</v>
          </cell>
        </row>
        <row r="1379">
          <cell r="AG1379" t="str">
            <v>ЮНГ</v>
          </cell>
        </row>
        <row r="1380">
          <cell r="AG1380" t="str">
            <v>ЮНГ</v>
          </cell>
        </row>
        <row r="1381">
          <cell r="AG1381" t="str">
            <v>ЮНГ</v>
          </cell>
        </row>
        <row r="1382">
          <cell r="AG1382" t="str">
            <v>ЮНГ</v>
          </cell>
        </row>
        <row r="1383">
          <cell r="AG1383" t="str">
            <v>ЮНГ</v>
          </cell>
        </row>
        <row r="1384">
          <cell r="AG1384" t="str">
            <v>ЮНГ</v>
          </cell>
        </row>
        <row r="1385">
          <cell r="AG1385" t="str">
            <v>ЮНГ</v>
          </cell>
        </row>
        <row r="1386">
          <cell r="AG1386" t="str">
            <v>ЮНГ</v>
          </cell>
        </row>
        <row r="1387">
          <cell r="AG1387" t="str">
            <v>ЮНГ</v>
          </cell>
        </row>
        <row r="1388">
          <cell r="AG1388" t="str">
            <v>ЮНГ</v>
          </cell>
        </row>
        <row r="1389">
          <cell r="AG1389" t="str">
            <v>ЮНГ</v>
          </cell>
        </row>
        <row r="1390">
          <cell r="AG1390" t="str">
            <v>ЮНГ</v>
          </cell>
        </row>
        <row r="1391">
          <cell r="AG1391" t="str">
            <v>ЮНГ</v>
          </cell>
        </row>
        <row r="1392">
          <cell r="AG1392" t="str">
            <v>ЮНГ</v>
          </cell>
        </row>
        <row r="1393">
          <cell r="AG1393" t="str">
            <v>ЮНГ</v>
          </cell>
        </row>
        <row r="1394">
          <cell r="AG1394" t="str">
            <v>ЮНГ</v>
          </cell>
        </row>
        <row r="1395">
          <cell r="AG1395" t="str">
            <v>ЮНГ</v>
          </cell>
        </row>
        <row r="1396">
          <cell r="AG1396" t="str">
            <v>ЮНГ</v>
          </cell>
        </row>
        <row r="1397">
          <cell r="AG1397" t="str">
            <v>ЮНГ</v>
          </cell>
        </row>
        <row r="1398">
          <cell r="AG1398" t="str">
            <v>ЮНГ</v>
          </cell>
        </row>
        <row r="1399">
          <cell r="AG1399" t="str">
            <v>ЮНГ</v>
          </cell>
        </row>
        <row r="1400">
          <cell r="AG1400" t="str">
            <v>ЮНГ</v>
          </cell>
        </row>
        <row r="1401">
          <cell r="AG1401" t="str">
            <v>ЮНГ</v>
          </cell>
        </row>
        <row r="1402">
          <cell r="AG1402" t="str">
            <v>ЮНГ</v>
          </cell>
        </row>
        <row r="1403">
          <cell r="AG1403" t="str">
            <v>ЮНГ</v>
          </cell>
        </row>
        <row r="1404">
          <cell r="AG1404" t="str">
            <v>ЮНГ</v>
          </cell>
        </row>
        <row r="1405">
          <cell r="AG1405" t="str">
            <v>ЮНГ</v>
          </cell>
        </row>
        <row r="1406">
          <cell r="AG1406" t="str">
            <v>ЮНГ</v>
          </cell>
        </row>
        <row r="1407">
          <cell r="AG1407" t="str">
            <v>ЮНГ</v>
          </cell>
        </row>
        <row r="1408">
          <cell r="AG1408" t="str">
            <v>ЮНГ</v>
          </cell>
        </row>
        <row r="1409">
          <cell r="AG1409" t="str">
            <v>ЮНГ</v>
          </cell>
        </row>
        <row r="1410">
          <cell r="AG1410" t="str">
            <v>ЮНГ</v>
          </cell>
        </row>
        <row r="1411">
          <cell r="AG1411" t="str">
            <v>ЮНГ</v>
          </cell>
        </row>
        <row r="1412">
          <cell r="AG1412" t="str">
            <v>ЮНГ</v>
          </cell>
        </row>
        <row r="1413">
          <cell r="AG1413" t="str">
            <v>ЮНГ</v>
          </cell>
        </row>
        <row r="1414">
          <cell r="AG1414" t="str">
            <v>ЮНГ</v>
          </cell>
        </row>
        <row r="1415">
          <cell r="AG1415" t="str">
            <v>ЮНГ</v>
          </cell>
        </row>
        <row r="1416">
          <cell r="AG1416" t="str">
            <v>ЮНГ</v>
          </cell>
        </row>
        <row r="1417">
          <cell r="AG1417" t="str">
            <v>ЮНГ</v>
          </cell>
        </row>
        <row r="1418">
          <cell r="AG1418" t="str">
            <v>ЮНГ</v>
          </cell>
        </row>
        <row r="1419">
          <cell r="AG1419" t="str">
            <v>ЮНГ</v>
          </cell>
        </row>
        <row r="1420">
          <cell r="AG1420" t="str">
            <v>ЮНГ</v>
          </cell>
        </row>
        <row r="1421">
          <cell r="AG1421" t="str">
            <v>ЮНГ</v>
          </cell>
        </row>
        <row r="1422">
          <cell r="AG1422" t="str">
            <v>ЮНГ</v>
          </cell>
        </row>
        <row r="1423">
          <cell r="AG1423" t="str">
            <v>ЮНГ</v>
          </cell>
        </row>
        <row r="1424">
          <cell r="AG1424" t="str">
            <v>ЮНГ</v>
          </cell>
        </row>
        <row r="1425">
          <cell r="AG1425" t="str">
            <v>ЮНГ</v>
          </cell>
        </row>
        <row r="1426">
          <cell r="AG1426" t="str">
            <v>ЮНГ</v>
          </cell>
        </row>
        <row r="1427">
          <cell r="AG1427" t="str">
            <v>ЮНГ</v>
          </cell>
        </row>
        <row r="1428">
          <cell r="AG1428" t="str">
            <v>ЮНГ</v>
          </cell>
        </row>
        <row r="1429">
          <cell r="AG1429" t="str">
            <v>ЮНГ</v>
          </cell>
        </row>
        <row r="1430">
          <cell r="AG1430" t="str">
            <v>ЮНГ</v>
          </cell>
        </row>
        <row r="1431">
          <cell r="AG1431" t="str">
            <v>ЮНГ</v>
          </cell>
        </row>
        <row r="1432">
          <cell r="AG1432" t="str">
            <v>ЮНГ</v>
          </cell>
        </row>
        <row r="1433">
          <cell r="AG1433" t="str">
            <v>ЮНГ</v>
          </cell>
        </row>
        <row r="1434">
          <cell r="AG1434" t="str">
            <v>ЮНГ</v>
          </cell>
        </row>
        <row r="1435">
          <cell r="AG1435" t="str">
            <v>ЮНГ</v>
          </cell>
        </row>
        <row r="1436">
          <cell r="AG1436" t="str">
            <v>ЮНГ</v>
          </cell>
        </row>
        <row r="1437">
          <cell r="AG1437" t="str">
            <v>ЮНГ</v>
          </cell>
        </row>
        <row r="1438">
          <cell r="AG1438" t="str">
            <v>ЮНГ</v>
          </cell>
        </row>
        <row r="1439">
          <cell r="AG1439" t="str">
            <v>ЮНГ</v>
          </cell>
        </row>
        <row r="1440">
          <cell r="AG1440" t="str">
            <v>ЮНГ</v>
          </cell>
        </row>
        <row r="1441">
          <cell r="AG1441" t="str">
            <v>ЮНГ</v>
          </cell>
        </row>
        <row r="1442">
          <cell r="AG1442" t="str">
            <v>ЮНГ</v>
          </cell>
        </row>
        <row r="1443">
          <cell r="AG1443" t="str">
            <v>ЮНГ</v>
          </cell>
        </row>
        <row r="1444">
          <cell r="AG1444" t="str">
            <v>ЮНГ</v>
          </cell>
        </row>
        <row r="1445">
          <cell r="AG1445" t="str">
            <v>ЮНГ</v>
          </cell>
        </row>
        <row r="1446">
          <cell r="AG1446" t="str">
            <v>ЮНГ</v>
          </cell>
        </row>
        <row r="1447">
          <cell r="AG1447" t="str">
            <v>ЮНГ</v>
          </cell>
        </row>
        <row r="1448">
          <cell r="AG1448" t="str">
            <v>ЮНГ</v>
          </cell>
        </row>
        <row r="1449">
          <cell r="AG1449" t="str">
            <v>ЮНГ</v>
          </cell>
        </row>
        <row r="1450">
          <cell r="AG1450" t="str">
            <v>ЮНГ</v>
          </cell>
        </row>
        <row r="1451">
          <cell r="AG1451" t="str">
            <v>ЮНГ</v>
          </cell>
        </row>
        <row r="1452">
          <cell r="AG1452" t="str">
            <v>ЮНГ</v>
          </cell>
        </row>
        <row r="1453">
          <cell r="AG1453" t="str">
            <v>ЮНГ</v>
          </cell>
        </row>
        <row r="1454">
          <cell r="AG1454" t="str">
            <v>ЮНГ</v>
          </cell>
        </row>
        <row r="1455">
          <cell r="AG1455" t="str">
            <v>ЮНГ</v>
          </cell>
        </row>
        <row r="1456">
          <cell r="AG1456" t="str">
            <v>ЮНГ</v>
          </cell>
        </row>
        <row r="1457">
          <cell r="AG1457" t="str">
            <v>ЮНГ</v>
          </cell>
        </row>
        <row r="1458">
          <cell r="AG1458" t="str">
            <v>ЮНГ</v>
          </cell>
        </row>
        <row r="1459">
          <cell r="AG1459" t="str">
            <v>ЮНГ</v>
          </cell>
        </row>
        <row r="1460">
          <cell r="AG1460" t="str">
            <v>ЮНГ</v>
          </cell>
        </row>
        <row r="1461">
          <cell r="AG1461" t="str">
            <v>ЮНГ</v>
          </cell>
        </row>
        <row r="1462">
          <cell r="AG1462" t="str">
            <v>ЮНГ</v>
          </cell>
        </row>
        <row r="1463">
          <cell r="AG1463" t="str">
            <v>ЮНГ</v>
          </cell>
        </row>
        <row r="1464">
          <cell r="AG1464" t="str">
            <v>ЮНГ</v>
          </cell>
        </row>
        <row r="1465">
          <cell r="AG1465" t="str">
            <v>ЮНГ</v>
          </cell>
        </row>
        <row r="1466">
          <cell r="AG1466" t="str">
            <v>ЮНГ</v>
          </cell>
        </row>
        <row r="1467">
          <cell r="AG1467" t="str">
            <v>ЮНГ</v>
          </cell>
        </row>
        <row r="1468">
          <cell r="AG1468" t="str">
            <v>ЮНГ</v>
          </cell>
        </row>
        <row r="1469">
          <cell r="AG1469" t="str">
            <v>ЮНГ</v>
          </cell>
        </row>
        <row r="1470">
          <cell r="AG1470" t="str">
            <v>ЮНГ</v>
          </cell>
        </row>
        <row r="1471">
          <cell r="AG1471" t="str">
            <v>ЮНГ</v>
          </cell>
        </row>
        <row r="1472">
          <cell r="AG1472" t="str">
            <v>ЮНГ</v>
          </cell>
        </row>
        <row r="1473">
          <cell r="AG1473" t="str">
            <v>ЮНГ</v>
          </cell>
        </row>
        <row r="1474">
          <cell r="AG1474" t="str">
            <v>ЮНГ</v>
          </cell>
        </row>
        <row r="1475">
          <cell r="AG1475" t="str">
            <v>ЮНГ</v>
          </cell>
        </row>
        <row r="1476">
          <cell r="AG1476" t="str">
            <v>ЮНГ</v>
          </cell>
        </row>
        <row r="1477">
          <cell r="AG1477" t="str">
            <v>ЮНГ</v>
          </cell>
        </row>
        <row r="1478">
          <cell r="AG1478" t="str">
            <v>ЮНГ</v>
          </cell>
        </row>
        <row r="1479">
          <cell r="AG1479" t="str">
            <v>ЮНГ</v>
          </cell>
        </row>
        <row r="1480">
          <cell r="AG1480" t="str">
            <v>ЮНГ</v>
          </cell>
        </row>
        <row r="1481">
          <cell r="AG1481" t="str">
            <v>ЮНГ</v>
          </cell>
        </row>
        <row r="1482">
          <cell r="AG1482" t="str">
            <v>ЮНГ</v>
          </cell>
        </row>
        <row r="1483">
          <cell r="AG1483" t="str">
            <v>ЮНГ</v>
          </cell>
        </row>
        <row r="1484">
          <cell r="AG1484" t="str">
            <v>ЮНГ</v>
          </cell>
        </row>
        <row r="1485">
          <cell r="AG1485" t="str">
            <v>ЮНГ</v>
          </cell>
        </row>
        <row r="1486">
          <cell r="AG1486" t="str">
            <v>ЮНГ</v>
          </cell>
        </row>
        <row r="1487">
          <cell r="AG1487" t="str">
            <v>ЮНГ</v>
          </cell>
        </row>
        <row r="1488">
          <cell r="AG1488" t="str">
            <v>ЮНГ</v>
          </cell>
        </row>
        <row r="1489">
          <cell r="AG1489" t="str">
            <v>ЮНГ</v>
          </cell>
        </row>
        <row r="1490">
          <cell r="AG1490" t="str">
            <v>ЮНГ</v>
          </cell>
        </row>
        <row r="1491">
          <cell r="AG1491" t="str">
            <v>ЮНГ</v>
          </cell>
        </row>
        <row r="1492">
          <cell r="AG1492" t="str">
            <v>ЮНГ</v>
          </cell>
        </row>
        <row r="1493">
          <cell r="AG1493" t="str">
            <v>ЮНГ</v>
          </cell>
        </row>
        <row r="1494">
          <cell r="AG1494" t="str">
            <v>ЮНГ</v>
          </cell>
        </row>
        <row r="1495">
          <cell r="AG1495" t="str">
            <v>ЮНГ</v>
          </cell>
        </row>
        <row r="1496">
          <cell r="AG1496" t="str">
            <v>ЮНГ</v>
          </cell>
        </row>
        <row r="1497">
          <cell r="AG1497" t="str">
            <v>ЮНГ</v>
          </cell>
        </row>
        <row r="1498">
          <cell r="AG1498" t="str">
            <v>ЮНГ</v>
          </cell>
        </row>
        <row r="1499">
          <cell r="AG1499" t="str">
            <v>ЮНГ</v>
          </cell>
        </row>
        <row r="1500">
          <cell r="AG1500" t="str">
            <v>ЮНГ</v>
          </cell>
        </row>
        <row r="1501">
          <cell r="AG1501" t="str">
            <v>ЮНГ</v>
          </cell>
        </row>
        <row r="1502">
          <cell r="AG1502" t="str">
            <v>ЮНГ</v>
          </cell>
        </row>
        <row r="1503">
          <cell r="AG1503" t="str">
            <v>ЮНГ</v>
          </cell>
        </row>
        <row r="1504">
          <cell r="AG1504" t="str">
            <v>ЮНГ</v>
          </cell>
        </row>
        <row r="1505">
          <cell r="AG1505" t="str">
            <v>ЮНГ</v>
          </cell>
        </row>
        <row r="1506">
          <cell r="AG1506" t="str">
            <v>ЮНГ</v>
          </cell>
        </row>
        <row r="1507">
          <cell r="AG1507" t="str">
            <v>ЮНГ</v>
          </cell>
        </row>
        <row r="1508">
          <cell r="AG1508" t="str">
            <v>ЮНГ</v>
          </cell>
        </row>
        <row r="1509">
          <cell r="AG1509" t="str">
            <v>ЮНГ</v>
          </cell>
        </row>
        <row r="1510">
          <cell r="AG1510" t="str">
            <v>ЮНГ</v>
          </cell>
        </row>
        <row r="1511">
          <cell r="AG1511" t="str">
            <v>ЮНГ</v>
          </cell>
        </row>
        <row r="1512">
          <cell r="AG1512" t="str">
            <v>ЮНГ</v>
          </cell>
        </row>
        <row r="1513">
          <cell r="AG1513" t="str">
            <v>ЮНГ</v>
          </cell>
        </row>
        <row r="1514">
          <cell r="AG1514" t="str">
            <v>ЮНГ</v>
          </cell>
        </row>
        <row r="1515">
          <cell r="AG1515" t="str">
            <v>ЮНГ</v>
          </cell>
        </row>
        <row r="1516">
          <cell r="AG1516" t="str">
            <v>ЮНГ</v>
          </cell>
        </row>
        <row r="1517">
          <cell r="AG1517" t="str">
            <v>ЮНГ</v>
          </cell>
        </row>
        <row r="1518">
          <cell r="AG1518" t="str">
            <v>ЮНГ</v>
          </cell>
        </row>
        <row r="1519">
          <cell r="AG1519" t="str">
            <v>ЮНГ</v>
          </cell>
        </row>
        <row r="1520">
          <cell r="AG1520" t="str">
            <v>ЮНГ</v>
          </cell>
        </row>
        <row r="1521">
          <cell r="AG1521" t="str">
            <v>ЮНГ</v>
          </cell>
        </row>
        <row r="1522">
          <cell r="AG1522" t="str">
            <v>ЮНГ</v>
          </cell>
        </row>
        <row r="1523">
          <cell r="AG1523" t="str">
            <v>ЮНГ</v>
          </cell>
        </row>
        <row r="1524">
          <cell r="AG1524" t="str">
            <v>ЮНГ</v>
          </cell>
        </row>
        <row r="1525">
          <cell r="AG1525" t="str">
            <v>ЮНГ</v>
          </cell>
        </row>
        <row r="1526">
          <cell r="AG1526" t="str">
            <v>ЮНГ</v>
          </cell>
        </row>
        <row r="1527">
          <cell r="AG1527" t="str">
            <v>ЮНГ</v>
          </cell>
        </row>
        <row r="1528">
          <cell r="AG1528" t="str">
            <v>ЮНГ</v>
          </cell>
        </row>
        <row r="1529">
          <cell r="AG1529" t="str">
            <v>ЮНГ</v>
          </cell>
        </row>
        <row r="1530">
          <cell r="AG1530" t="str">
            <v>ЮНГ</v>
          </cell>
        </row>
        <row r="1531">
          <cell r="AG1531" t="str">
            <v>ЮНГ</v>
          </cell>
        </row>
        <row r="1532">
          <cell r="AG1532" t="str">
            <v>ЮНГ</v>
          </cell>
        </row>
        <row r="1533">
          <cell r="AG1533" t="str">
            <v>ЮНГ</v>
          </cell>
        </row>
        <row r="1534">
          <cell r="AG1534" t="str">
            <v>ЮНГ</v>
          </cell>
        </row>
        <row r="1535">
          <cell r="AG1535" t="str">
            <v>ЮНГ</v>
          </cell>
        </row>
        <row r="1536">
          <cell r="AG1536" t="str">
            <v>ЮНГ</v>
          </cell>
        </row>
        <row r="1537">
          <cell r="AG1537" t="str">
            <v>ЮНГ</v>
          </cell>
        </row>
        <row r="1538">
          <cell r="AG1538" t="str">
            <v>ЮНГ</v>
          </cell>
        </row>
        <row r="1539">
          <cell r="AG1539" t="str">
            <v>ЮНГ</v>
          </cell>
        </row>
        <row r="1540">
          <cell r="AG1540" t="str">
            <v>ЮНГ</v>
          </cell>
        </row>
        <row r="1541">
          <cell r="AG1541" t="str">
            <v>ЮНГ</v>
          </cell>
        </row>
        <row r="1542">
          <cell r="AG1542" t="str">
            <v>ЮНГ</v>
          </cell>
        </row>
        <row r="1543">
          <cell r="AG1543" t="str">
            <v>ЮНГ</v>
          </cell>
        </row>
        <row r="1544">
          <cell r="AG1544" t="str">
            <v>ЮНГ</v>
          </cell>
        </row>
        <row r="1545">
          <cell r="AG1545" t="str">
            <v>ЮНГ</v>
          </cell>
        </row>
        <row r="1546">
          <cell r="AG1546" t="str">
            <v>ЮНГ</v>
          </cell>
        </row>
        <row r="1547">
          <cell r="AG1547" t="str">
            <v>ЮНГ</v>
          </cell>
        </row>
        <row r="1548">
          <cell r="AG1548" t="str">
            <v>ЮНГ</v>
          </cell>
        </row>
        <row r="1549">
          <cell r="AG1549" t="str">
            <v>ЮНГ</v>
          </cell>
        </row>
        <row r="1550">
          <cell r="AG1550" t="str">
            <v>ЮНГ</v>
          </cell>
        </row>
        <row r="1551">
          <cell r="AG1551" t="str">
            <v>ЮНГ</v>
          </cell>
        </row>
        <row r="1552">
          <cell r="AG1552" t="str">
            <v>ЮНГ</v>
          </cell>
        </row>
        <row r="1553">
          <cell r="AG1553" t="str">
            <v>ЮНГ</v>
          </cell>
        </row>
        <row r="1554">
          <cell r="AG1554" t="str">
            <v>ЮНГ</v>
          </cell>
        </row>
        <row r="1555">
          <cell r="AG1555" t="str">
            <v>ЮНГ</v>
          </cell>
        </row>
        <row r="1556">
          <cell r="AG1556" t="str">
            <v>ЮНГ</v>
          </cell>
        </row>
        <row r="1557">
          <cell r="AG1557" t="str">
            <v>ЮНГ</v>
          </cell>
        </row>
        <row r="1558">
          <cell r="AG1558" t="str">
            <v>ЮНГ</v>
          </cell>
        </row>
        <row r="1559">
          <cell r="AG1559" t="str">
            <v>ЮНГ</v>
          </cell>
        </row>
        <row r="1560">
          <cell r="AG1560" t="str">
            <v>ЮНГ</v>
          </cell>
        </row>
        <row r="1561">
          <cell r="AG1561" t="str">
            <v>ЮНГ</v>
          </cell>
        </row>
        <row r="1562">
          <cell r="AG1562" t="str">
            <v>ЮНГ</v>
          </cell>
        </row>
        <row r="1563">
          <cell r="AG1563" t="str">
            <v>ЮНГ</v>
          </cell>
        </row>
        <row r="1564">
          <cell r="AG1564" t="str">
            <v>ЮНГ</v>
          </cell>
        </row>
        <row r="1565">
          <cell r="AG1565" t="str">
            <v>ЮНГ</v>
          </cell>
        </row>
        <row r="1566">
          <cell r="AG1566" t="str">
            <v>ЮНГ</v>
          </cell>
        </row>
        <row r="1567">
          <cell r="AG1567" t="str">
            <v>ЮНГ</v>
          </cell>
        </row>
        <row r="1568">
          <cell r="AG1568" t="str">
            <v>ЮНГ</v>
          </cell>
        </row>
        <row r="1569">
          <cell r="AG1569" t="str">
            <v>ЮНГ</v>
          </cell>
        </row>
        <row r="1570">
          <cell r="AG1570" t="str">
            <v>ЮНГ</v>
          </cell>
        </row>
        <row r="1571">
          <cell r="AG1571" t="str">
            <v>ЮНГ</v>
          </cell>
        </row>
        <row r="1572">
          <cell r="AG1572" t="str">
            <v>ЮНГ</v>
          </cell>
        </row>
        <row r="1573">
          <cell r="AG1573" t="str">
            <v>ЮНГ</v>
          </cell>
        </row>
        <row r="1574">
          <cell r="AG1574" t="str">
            <v>ЮНГ</v>
          </cell>
        </row>
        <row r="1575">
          <cell r="AG1575" t="str">
            <v>ЮНГ</v>
          </cell>
        </row>
        <row r="1576">
          <cell r="AG1576" t="str">
            <v>ЮНГ</v>
          </cell>
        </row>
        <row r="1577">
          <cell r="AG1577" t="str">
            <v>ЮНГ</v>
          </cell>
        </row>
        <row r="1578">
          <cell r="AG1578" t="str">
            <v>ЮНГ</v>
          </cell>
        </row>
        <row r="1579">
          <cell r="AG1579" t="str">
            <v>ЮНГ</v>
          </cell>
        </row>
        <row r="1580">
          <cell r="AG1580" t="str">
            <v>ЮНГ</v>
          </cell>
        </row>
        <row r="1581">
          <cell r="AG1581" t="str">
            <v>ЮНГ</v>
          </cell>
        </row>
        <row r="1582">
          <cell r="AG1582" t="str">
            <v>ЮНГ</v>
          </cell>
        </row>
        <row r="1583">
          <cell r="AG1583" t="str">
            <v>ЮНГ</v>
          </cell>
        </row>
        <row r="1584">
          <cell r="AG1584" t="str">
            <v>ЮНГ</v>
          </cell>
        </row>
        <row r="1585">
          <cell r="AG1585" t="str">
            <v>ЮНГ</v>
          </cell>
        </row>
        <row r="1586">
          <cell r="AG1586" t="str">
            <v>ЮНГ</v>
          </cell>
        </row>
        <row r="1587">
          <cell r="AG1587" t="str">
            <v>ЮНГ</v>
          </cell>
        </row>
        <row r="1588">
          <cell r="AG1588" t="str">
            <v>ЮНГ</v>
          </cell>
        </row>
        <row r="1589">
          <cell r="AG1589" t="str">
            <v>ЮНГ</v>
          </cell>
        </row>
        <row r="1590">
          <cell r="AG1590" t="str">
            <v>ЮНГ</v>
          </cell>
        </row>
        <row r="1591">
          <cell r="AG1591" t="str">
            <v>ЮНГ</v>
          </cell>
        </row>
        <row r="1592">
          <cell r="AG1592" t="str">
            <v>ЮНГ</v>
          </cell>
        </row>
        <row r="1593">
          <cell r="AG1593" t="str">
            <v>ЮНГ</v>
          </cell>
        </row>
        <row r="1594">
          <cell r="AG1594" t="str">
            <v>ЮНГ</v>
          </cell>
        </row>
        <row r="1595">
          <cell r="AG1595" t="str">
            <v>ЮНГ</v>
          </cell>
        </row>
        <row r="1596">
          <cell r="AG1596" t="str">
            <v>ЮНГ</v>
          </cell>
        </row>
        <row r="1597">
          <cell r="AG1597" t="str">
            <v>ЮНГ</v>
          </cell>
        </row>
        <row r="1598">
          <cell r="AG1598" t="str">
            <v>ЮНГ</v>
          </cell>
        </row>
        <row r="1599">
          <cell r="AG1599" t="str">
            <v>ЮНГ</v>
          </cell>
        </row>
        <row r="1600">
          <cell r="AG1600" t="str">
            <v>ЮНГ</v>
          </cell>
        </row>
        <row r="1601">
          <cell r="AG1601" t="str">
            <v>ЮНГ</v>
          </cell>
        </row>
        <row r="1602">
          <cell r="AG1602" t="str">
            <v>ЮНГ</v>
          </cell>
        </row>
        <row r="1603">
          <cell r="AG1603" t="str">
            <v>ЮНГ</v>
          </cell>
        </row>
        <row r="1604">
          <cell r="AG1604" t="str">
            <v>ЮНГ</v>
          </cell>
        </row>
        <row r="1605">
          <cell r="AG1605" t="str">
            <v>ЮНГ</v>
          </cell>
        </row>
        <row r="1606">
          <cell r="AG1606" t="str">
            <v>ЮНГ</v>
          </cell>
        </row>
        <row r="1607">
          <cell r="AG1607" t="str">
            <v>ЮНГ</v>
          </cell>
        </row>
        <row r="1608">
          <cell r="AG1608" t="str">
            <v>ЮНГ</v>
          </cell>
        </row>
        <row r="1609">
          <cell r="AG1609" t="str">
            <v>ЮНГ</v>
          </cell>
        </row>
        <row r="1610">
          <cell r="AG1610" t="str">
            <v>ЮНГ</v>
          </cell>
        </row>
        <row r="1611">
          <cell r="AG1611" t="str">
            <v>ЮНГ</v>
          </cell>
        </row>
        <row r="1612">
          <cell r="AG1612" t="str">
            <v>ЮНГ</v>
          </cell>
        </row>
        <row r="1613">
          <cell r="AG1613" t="str">
            <v>ЮНГ</v>
          </cell>
        </row>
        <row r="1614">
          <cell r="AG1614" t="str">
            <v>ЮНГ</v>
          </cell>
        </row>
        <row r="1615">
          <cell r="AG1615" t="str">
            <v>ЮНГ</v>
          </cell>
        </row>
        <row r="1616">
          <cell r="AG1616" t="str">
            <v>ЮНГ</v>
          </cell>
        </row>
        <row r="1617">
          <cell r="AG1617" t="str">
            <v>ЮНГ</v>
          </cell>
        </row>
        <row r="1618">
          <cell r="AG1618" t="str">
            <v>ЮНГ</v>
          </cell>
        </row>
        <row r="1619">
          <cell r="AG1619" t="str">
            <v>ЮНГ</v>
          </cell>
        </row>
        <row r="1620">
          <cell r="AG1620" t="str">
            <v>ЮНГ</v>
          </cell>
        </row>
        <row r="1621">
          <cell r="AG1621" t="str">
            <v>ЮНГ</v>
          </cell>
        </row>
        <row r="1622">
          <cell r="AG1622" t="str">
            <v>ЮНГ</v>
          </cell>
        </row>
        <row r="1623">
          <cell r="AG1623" t="str">
            <v>ЮНГ</v>
          </cell>
        </row>
        <row r="1624">
          <cell r="AG1624" t="str">
            <v>ЮНГ</v>
          </cell>
        </row>
        <row r="1625">
          <cell r="AG1625" t="str">
            <v>ЮНГ</v>
          </cell>
        </row>
        <row r="1626">
          <cell r="AG1626" t="str">
            <v>ЮНГ</v>
          </cell>
        </row>
        <row r="1627">
          <cell r="AG1627" t="str">
            <v>ЮНГ</v>
          </cell>
        </row>
        <row r="1628">
          <cell r="AG1628" t="str">
            <v>ЮНГ</v>
          </cell>
        </row>
        <row r="1629">
          <cell r="AG1629" t="str">
            <v>ЮНГ</v>
          </cell>
        </row>
        <row r="1630">
          <cell r="AG1630" t="str">
            <v>ЮНГ</v>
          </cell>
        </row>
        <row r="1631">
          <cell r="AG1631" t="str">
            <v>ЮНГ</v>
          </cell>
        </row>
        <row r="1632">
          <cell r="AG1632" t="str">
            <v>ЮНГ</v>
          </cell>
        </row>
        <row r="1633">
          <cell r="AG1633" t="str">
            <v>ЮНГ</v>
          </cell>
        </row>
        <row r="1634">
          <cell r="AG1634" t="str">
            <v>ЮНГ</v>
          </cell>
        </row>
        <row r="1635">
          <cell r="AG1635" t="str">
            <v>ЮНГ</v>
          </cell>
        </row>
        <row r="1636">
          <cell r="AG1636" t="str">
            <v>ЮНГ</v>
          </cell>
        </row>
        <row r="1637">
          <cell r="AG1637" t="str">
            <v>ЮНГ</v>
          </cell>
        </row>
        <row r="1638">
          <cell r="AG1638" t="str">
            <v>ЮНГ</v>
          </cell>
        </row>
        <row r="1639">
          <cell r="AG1639" t="str">
            <v>ЮНГ</v>
          </cell>
        </row>
        <row r="1640">
          <cell r="AG1640" t="str">
            <v>ЮНГ</v>
          </cell>
        </row>
        <row r="1641">
          <cell r="AG1641" t="str">
            <v>ЮНГ</v>
          </cell>
        </row>
        <row r="1642">
          <cell r="AG1642" t="str">
            <v>ЮНГ</v>
          </cell>
        </row>
        <row r="1643">
          <cell r="AG1643" t="str">
            <v>ЮНГ</v>
          </cell>
        </row>
        <row r="1644">
          <cell r="AG1644" t="str">
            <v>ЮНГ</v>
          </cell>
        </row>
        <row r="1645">
          <cell r="AG1645" t="str">
            <v>ЮНГ</v>
          </cell>
        </row>
        <row r="1646">
          <cell r="AG1646" t="str">
            <v>ЮНГ</v>
          </cell>
        </row>
        <row r="1647">
          <cell r="AG1647" t="str">
            <v>ЮНГ</v>
          </cell>
        </row>
        <row r="1648">
          <cell r="AG1648" t="str">
            <v>ЮНГ</v>
          </cell>
        </row>
        <row r="1649">
          <cell r="AG1649" t="str">
            <v>ЮНГ</v>
          </cell>
        </row>
        <row r="1650">
          <cell r="AG1650" t="str">
            <v>ЮНГ</v>
          </cell>
        </row>
        <row r="1651">
          <cell r="AG1651" t="str">
            <v>ЮНГ</v>
          </cell>
        </row>
        <row r="1652">
          <cell r="AG1652" t="str">
            <v>ЮНГ</v>
          </cell>
        </row>
        <row r="1653">
          <cell r="AG1653" t="str">
            <v>ЮНГ</v>
          </cell>
        </row>
        <row r="1654">
          <cell r="AG1654" t="str">
            <v>ЮНГ</v>
          </cell>
        </row>
        <row r="1655">
          <cell r="AG1655" t="str">
            <v>ЮНГ</v>
          </cell>
        </row>
        <row r="1656">
          <cell r="AG1656" t="str">
            <v>ЮНГ</v>
          </cell>
        </row>
        <row r="1657">
          <cell r="AG1657" t="str">
            <v>ЮНГ</v>
          </cell>
        </row>
        <row r="1658">
          <cell r="AG1658" t="str">
            <v>ЮНГ</v>
          </cell>
        </row>
        <row r="1659">
          <cell r="AG1659" t="str">
            <v>ЮНГ</v>
          </cell>
        </row>
        <row r="1660">
          <cell r="AG1660" t="str">
            <v>ЮНГ</v>
          </cell>
        </row>
        <row r="1661">
          <cell r="AG1661" t="str">
            <v>ЮНГ</v>
          </cell>
        </row>
        <row r="1662">
          <cell r="AG1662" t="str">
            <v>ЮНГ</v>
          </cell>
        </row>
        <row r="1663">
          <cell r="AG1663" t="str">
            <v>ЮНГ</v>
          </cell>
        </row>
        <row r="1664">
          <cell r="AG1664" t="str">
            <v>ЮНГ</v>
          </cell>
        </row>
        <row r="1665">
          <cell r="AG1665" t="str">
            <v>ЮНГ</v>
          </cell>
        </row>
        <row r="1666">
          <cell r="AG1666" t="str">
            <v>ЮНГ</v>
          </cell>
        </row>
        <row r="1667">
          <cell r="AG1667" t="str">
            <v>ЮНГ</v>
          </cell>
        </row>
        <row r="1668">
          <cell r="AG1668" t="str">
            <v>ЮНГ</v>
          </cell>
        </row>
        <row r="1669">
          <cell r="AG1669" t="str">
            <v>ЮНГ</v>
          </cell>
        </row>
        <row r="1670">
          <cell r="AG1670" t="str">
            <v>ЮНГ</v>
          </cell>
        </row>
        <row r="1671">
          <cell r="AG1671" t="str">
            <v>ЮНГ</v>
          </cell>
        </row>
        <row r="1672">
          <cell r="AG1672" t="str">
            <v>ЮНГ</v>
          </cell>
        </row>
        <row r="1673">
          <cell r="AG1673" t="str">
            <v>ЮНГ</v>
          </cell>
        </row>
        <row r="1674">
          <cell r="AG1674" t="str">
            <v>ЮНГ</v>
          </cell>
        </row>
        <row r="1675">
          <cell r="AG1675" t="str">
            <v>ЮНГ</v>
          </cell>
        </row>
        <row r="1676">
          <cell r="AG1676" t="str">
            <v>ЮНГ</v>
          </cell>
        </row>
        <row r="1677">
          <cell r="AG1677" t="str">
            <v>ЮНГ</v>
          </cell>
        </row>
        <row r="1678">
          <cell r="AG1678" t="str">
            <v>ЮНГ</v>
          </cell>
        </row>
        <row r="1679">
          <cell r="AG1679" t="str">
            <v>ЮНГ</v>
          </cell>
        </row>
        <row r="1680">
          <cell r="AG1680" t="str">
            <v>ЮНГ</v>
          </cell>
        </row>
        <row r="1681">
          <cell r="AG1681" t="str">
            <v>ЮНГ</v>
          </cell>
        </row>
        <row r="1682">
          <cell r="AG1682" t="str">
            <v>ЮНГ</v>
          </cell>
        </row>
        <row r="1683">
          <cell r="AG1683" t="str">
            <v>ЮНГ</v>
          </cell>
        </row>
        <row r="1684">
          <cell r="AG1684" t="str">
            <v>ЮНГ</v>
          </cell>
        </row>
        <row r="1685">
          <cell r="AG1685" t="str">
            <v>ЮНГ</v>
          </cell>
        </row>
        <row r="1686">
          <cell r="AG1686" t="str">
            <v>ЮНГ</v>
          </cell>
        </row>
        <row r="1687">
          <cell r="AG1687" t="str">
            <v>ЮНГ</v>
          </cell>
        </row>
        <row r="1688">
          <cell r="AG1688" t="str">
            <v>ЮНГ</v>
          </cell>
        </row>
        <row r="1689">
          <cell r="AG1689" t="str">
            <v>ЮНГ</v>
          </cell>
        </row>
        <row r="1690">
          <cell r="AG1690" t="str">
            <v>ЮНГ</v>
          </cell>
        </row>
        <row r="1691">
          <cell r="AG1691" t="str">
            <v>ЮНГ</v>
          </cell>
        </row>
        <row r="1692">
          <cell r="AG1692" t="str">
            <v>ЮНГ</v>
          </cell>
        </row>
        <row r="1693">
          <cell r="AG1693" t="str">
            <v>ЮНГ</v>
          </cell>
        </row>
        <row r="1694">
          <cell r="AG1694" t="str">
            <v>ЮНГ</v>
          </cell>
        </row>
        <row r="1695">
          <cell r="AG1695" t="str">
            <v>ЮНГ</v>
          </cell>
        </row>
        <row r="1696">
          <cell r="AG1696" t="str">
            <v>ЮНГ</v>
          </cell>
        </row>
        <row r="1697">
          <cell r="AG1697" t="str">
            <v>ЮНГ</v>
          </cell>
        </row>
        <row r="1698">
          <cell r="AG1698" t="str">
            <v>ЮНГ</v>
          </cell>
        </row>
        <row r="1699">
          <cell r="AG1699" t="str">
            <v>ЮНГ</v>
          </cell>
        </row>
        <row r="1700">
          <cell r="AG1700" t="str">
            <v>ЮНГ</v>
          </cell>
        </row>
        <row r="1701">
          <cell r="AG1701" t="str">
            <v>ЮНГ</v>
          </cell>
        </row>
        <row r="1702">
          <cell r="AG1702" t="str">
            <v>ЮНГ</v>
          </cell>
        </row>
        <row r="1703">
          <cell r="AG1703" t="str">
            <v>ЮНГ</v>
          </cell>
        </row>
        <row r="1704">
          <cell r="AG1704" t="str">
            <v>ЮНГ</v>
          </cell>
        </row>
        <row r="1705">
          <cell r="AG1705" t="str">
            <v>ЮНГ</v>
          </cell>
        </row>
        <row r="1706">
          <cell r="AG1706" t="str">
            <v>ЮНГ</v>
          </cell>
        </row>
        <row r="1707">
          <cell r="AG1707" t="str">
            <v>ЮНГ</v>
          </cell>
        </row>
        <row r="1708">
          <cell r="AG1708" t="str">
            <v>ЮНГ</v>
          </cell>
        </row>
        <row r="1709">
          <cell r="AG1709" t="str">
            <v>ЮНГ</v>
          </cell>
        </row>
        <row r="1710">
          <cell r="AG1710" t="str">
            <v>ЮНГ</v>
          </cell>
        </row>
        <row r="1711">
          <cell r="AG1711" t="str">
            <v>ЮНГ</v>
          </cell>
        </row>
        <row r="1712">
          <cell r="AG1712" t="str">
            <v>ЮНГ</v>
          </cell>
        </row>
        <row r="1713">
          <cell r="AG1713" t="str">
            <v>ЮНГ</v>
          </cell>
        </row>
        <row r="1714">
          <cell r="AG1714" t="str">
            <v>ЮНГ</v>
          </cell>
        </row>
        <row r="1715">
          <cell r="AG1715" t="str">
            <v>ЮНГ</v>
          </cell>
        </row>
        <row r="1716">
          <cell r="AG1716" t="str">
            <v>ЮНГ</v>
          </cell>
        </row>
        <row r="1717">
          <cell r="AG1717" t="str">
            <v>ЮНГ</v>
          </cell>
        </row>
        <row r="1718">
          <cell r="AG1718" t="str">
            <v>ЮНГ</v>
          </cell>
        </row>
        <row r="1719">
          <cell r="AG1719" t="str">
            <v>ЮНГ</v>
          </cell>
        </row>
        <row r="1720">
          <cell r="AG1720" t="str">
            <v>ЮНГ</v>
          </cell>
        </row>
        <row r="1721">
          <cell r="AG1721" t="str">
            <v>ЮНГ</v>
          </cell>
        </row>
        <row r="1722">
          <cell r="AG1722" t="str">
            <v>ЮНГ</v>
          </cell>
        </row>
        <row r="1723">
          <cell r="AG1723" t="str">
            <v>ЮНГ</v>
          </cell>
        </row>
        <row r="1724">
          <cell r="AG1724" t="str">
            <v>ЮНГ</v>
          </cell>
        </row>
        <row r="1725">
          <cell r="AG1725" t="str">
            <v>ЮНГ</v>
          </cell>
        </row>
        <row r="1726">
          <cell r="AG1726" t="str">
            <v>ЮНГ</v>
          </cell>
        </row>
        <row r="1727">
          <cell r="AG1727" t="str">
            <v>ЮНГ</v>
          </cell>
        </row>
        <row r="1728">
          <cell r="AG1728" t="str">
            <v>ЮНГ</v>
          </cell>
        </row>
        <row r="1729">
          <cell r="AG1729" t="str">
            <v>ЮНГ</v>
          </cell>
        </row>
        <row r="1730">
          <cell r="AG1730" t="str">
            <v>ЮНГ</v>
          </cell>
        </row>
        <row r="1731">
          <cell r="AG1731" t="str">
            <v>ЮНГ</v>
          </cell>
        </row>
        <row r="1732">
          <cell r="AG1732" t="str">
            <v>ЮНГ</v>
          </cell>
        </row>
        <row r="1733">
          <cell r="AG1733" t="str">
            <v>ЮНГ</v>
          </cell>
        </row>
        <row r="1734">
          <cell r="AG1734" t="str">
            <v>ЮНГ</v>
          </cell>
        </row>
        <row r="1735">
          <cell r="AG1735" t="str">
            <v>ЮНГ</v>
          </cell>
        </row>
        <row r="1736">
          <cell r="AG1736" t="str">
            <v>ЮНГ</v>
          </cell>
        </row>
        <row r="1737">
          <cell r="AG1737" t="str">
            <v>ЮНГ</v>
          </cell>
        </row>
        <row r="1738">
          <cell r="AG1738" t="str">
            <v>ЮНГ</v>
          </cell>
        </row>
        <row r="1739">
          <cell r="AG1739" t="str">
            <v>ЮНГ</v>
          </cell>
        </row>
        <row r="1740">
          <cell r="AG1740" t="str">
            <v>ЮНГ</v>
          </cell>
        </row>
        <row r="1741">
          <cell r="AG1741" t="str">
            <v>ЮНГ</v>
          </cell>
        </row>
        <row r="1742">
          <cell r="AG1742" t="str">
            <v>ЮНГ</v>
          </cell>
        </row>
        <row r="1743">
          <cell r="AG1743" t="str">
            <v>ЮНГ</v>
          </cell>
        </row>
        <row r="1744">
          <cell r="AG1744" t="str">
            <v>ЮНГ</v>
          </cell>
        </row>
        <row r="1745">
          <cell r="AG1745" t="str">
            <v>ЮНГ</v>
          </cell>
        </row>
        <row r="1746">
          <cell r="AG1746" t="str">
            <v>ЮНГ</v>
          </cell>
        </row>
        <row r="1747">
          <cell r="AG1747" t="str">
            <v>ЮНГ</v>
          </cell>
        </row>
        <row r="1748">
          <cell r="AG1748" t="str">
            <v>ЮНГ</v>
          </cell>
        </row>
        <row r="1749">
          <cell r="AG1749" t="str">
            <v>ЮНГ</v>
          </cell>
        </row>
        <row r="1750">
          <cell r="AG1750" t="str">
            <v>ЮНГ</v>
          </cell>
        </row>
        <row r="1751">
          <cell r="AG1751" t="str">
            <v>ЮНГ</v>
          </cell>
        </row>
        <row r="1752">
          <cell r="AG1752" t="str">
            <v>ЮНГ</v>
          </cell>
        </row>
        <row r="1753">
          <cell r="AG1753" t="str">
            <v>ЮНГ</v>
          </cell>
        </row>
        <row r="1754">
          <cell r="AG1754" t="str">
            <v>ЮНГ</v>
          </cell>
        </row>
        <row r="1755">
          <cell r="AG1755" t="str">
            <v>ЮНГ</v>
          </cell>
        </row>
        <row r="1756">
          <cell r="AG1756" t="str">
            <v>ЮНГ</v>
          </cell>
        </row>
        <row r="1757">
          <cell r="AG1757" t="str">
            <v>ЮНГ</v>
          </cell>
        </row>
        <row r="1758">
          <cell r="AG1758" t="str">
            <v>ЮНГ</v>
          </cell>
        </row>
        <row r="1759">
          <cell r="AG1759" t="str">
            <v>ЮНГ</v>
          </cell>
        </row>
        <row r="1760">
          <cell r="AG1760" t="str">
            <v>ЮНГ</v>
          </cell>
        </row>
        <row r="1761">
          <cell r="AG1761" t="str">
            <v>ЮНГ</v>
          </cell>
        </row>
        <row r="1762">
          <cell r="AG1762" t="str">
            <v>ЮНГ</v>
          </cell>
        </row>
        <row r="1763">
          <cell r="AG1763" t="str">
            <v>ЮНГ</v>
          </cell>
        </row>
        <row r="1764">
          <cell r="AG1764" t="str">
            <v>ЮНГ</v>
          </cell>
        </row>
        <row r="1765">
          <cell r="AG1765" t="str">
            <v>ЮНГ</v>
          </cell>
        </row>
        <row r="1766">
          <cell r="AG1766" t="str">
            <v>ЮНГ</v>
          </cell>
        </row>
        <row r="1767">
          <cell r="AG1767" t="str">
            <v>ЮНГ</v>
          </cell>
        </row>
        <row r="1768">
          <cell r="AG1768" t="str">
            <v>ЮНГ</v>
          </cell>
        </row>
        <row r="1769">
          <cell r="AG1769" t="str">
            <v>ЮНГ</v>
          </cell>
        </row>
        <row r="1770">
          <cell r="AG1770" t="str">
            <v>ЮНГ</v>
          </cell>
        </row>
        <row r="1771">
          <cell r="AG1771" t="str">
            <v>ЮНГ</v>
          </cell>
        </row>
        <row r="1772">
          <cell r="AG1772" t="str">
            <v>ЮНГ</v>
          </cell>
        </row>
        <row r="1773">
          <cell r="AG1773" t="str">
            <v>ЮНГ</v>
          </cell>
        </row>
        <row r="1774">
          <cell r="AG1774" t="str">
            <v>ЮНГ</v>
          </cell>
        </row>
        <row r="1775">
          <cell r="AG1775" t="str">
            <v>ЮНГ</v>
          </cell>
        </row>
        <row r="1776">
          <cell r="AG1776" t="str">
            <v>ЮНГ</v>
          </cell>
        </row>
        <row r="1777">
          <cell r="AG1777" t="str">
            <v>ЮНГ</v>
          </cell>
        </row>
        <row r="1778">
          <cell r="AG1778" t="str">
            <v>ЮНГ</v>
          </cell>
        </row>
        <row r="1779">
          <cell r="AG1779" t="str">
            <v>ЮНГ</v>
          </cell>
        </row>
        <row r="1780">
          <cell r="AG1780" t="str">
            <v>ЮНГ</v>
          </cell>
        </row>
        <row r="1781">
          <cell r="AG1781" t="str">
            <v>ЮНГ</v>
          </cell>
        </row>
        <row r="1782">
          <cell r="AG1782" t="str">
            <v>ЮНГ</v>
          </cell>
        </row>
        <row r="1783">
          <cell r="AG1783" t="str">
            <v>ЮНГ</v>
          </cell>
        </row>
        <row r="1784">
          <cell r="AG1784" t="str">
            <v>ЮНГ</v>
          </cell>
        </row>
        <row r="1785">
          <cell r="AG1785" t="str">
            <v>ЮНГ</v>
          </cell>
        </row>
        <row r="1786">
          <cell r="AG1786" t="str">
            <v>ЮНГ</v>
          </cell>
        </row>
        <row r="1787">
          <cell r="AG1787" t="str">
            <v>ЮНГ</v>
          </cell>
        </row>
        <row r="1788">
          <cell r="AG1788" t="str">
            <v>ЮНГ</v>
          </cell>
        </row>
        <row r="1789">
          <cell r="AG1789" t="str">
            <v>ЮНГ</v>
          </cell>
        </row>
        <row r="1790">
          <cell r="AG1790" t="str">
            <v>ЮНГ</v>
          </cell>
        </row>
        <row r="1791">
          <cell r="AG1791" t="str">
            <v>ЮНГ</v>
          </cell>
        </row>
        <row r="1792">
          <cell r="AG1792" t="str">
            <v>ЮНГ</v>
          </cell>
        </row>
        <row r="1793">
          <cell r="AG1793" t="str">
            <v>ЮНГ</v>
          </cell>
        </row>
        <row r="1794">
          <cell r="AG1794" t="str">
            <v>ЮНГ</v>
          </cell>
        </row>
        <row r="1795">
          <cell r="AG1795" t="str">
            <v>ЮНГ</v>
          </cell>
        </row>
        <row r="1796">
          <cell r="AG1796" t="str">
            <v>ЮНГ</v>
          </cell>
        </row>
        <row r="1797">
          <cell r="AG1797" t="str">
            <v>ЮНГ</v>
          </cell>
        </row>
        <row r="1798">
          <cell r="AG1798" t="str">
            <v>ЮНГ</v>
          </cell>
        </row>
        <row r="1799">
          <cell r="AG1799" t="str">
            <v>ЮНГ</v>
          </cell>
        </row>
        <row r="1800">
          <cell r="AG1800" t="str">
            <v>ЮНГ</v>
          </cell>
        </row>
        <row r="1801">
          <cell r="AG1801" t="str">
            <v>ЮНГ</v>
          </cell>
        </row>
        <row r="1802">
          <cell r="AG1802" t="str">
            <v>ЮНГ</v>
          </cell>
        </row>
        <row r="1803">
          <cell r="AG1803" t="str">
            <v>ЮНГ</v>
          </cell>
        </row>
        <row r="1804">
          <cell r="AG1804" t="str">
            <v>ЮНГ</v>
          </cell>
        </row>
        <row r="1805">
          <cell r="AG1805" t="str">
            <v>ЮНГ</v>
          </cell>
        </row>
        <row r="1806">
          <cell r="AG1806" t="str">
            <v>ЮНГ</v>
          </cell>
        </row>
        <row r="1807">
          <cell r="AG1807" t="str">
            <v>ЮНГ</v>
          </cell>
        </row>
        <row r="1808">
          <cell r="AG1808" t="str">
            <v>ЮНГ</v>
          </cell>
        </row>
        <row r="1809">
          <cell r="AG1809" t="str">
            <v>ЮНГ</v>
          </cell>
        </row>
        <row r="1810">
          <cell r="AG1810" t="str">
            <v>ЮНГ</v>
          </cell>
        </row>
        <row r="1811">
          <cell r="AG1811" t="str">
            <v>ЮНГ</v>
          </cell>
        </row>
        <row r="1812">
          <cell r="AG1812" t="str">
            <v>ЮНГ</v>
          </cell>
        </row>
        <row r="1813">
          <cell r="AG1813" t="str">
            <v>ЮНГ</v>
          </cell>
        </row>
        <row r="1814">
          <cell r="AG1814" t="str">
            <v>ЮНГ</v>
          </cell>
        </row>
        <row r="1815">
          <cell r="AG1815" t="str">
            <v>ЮНГ</v>
          </cell>
        </row>
        <row r="1816">
          <cell r="AG1816" t="str">
            <v>ЮНГ</v>
          </cell>
        </row>
        <row r="1817">
          <cell r="AG1817" t="str">
            <v>ЮНГ</v>
          </cell>
        </row>
        <row r="1818">
          <cell r="AG1818" t="str">
            <v>ЮНГ</v>
          </cell>
        </row>
        <row r="1819">
          <cell r="AG1819" t="str">
            <v>ЮНГ</v>
          </cell>
        </row>
        <row r="1820">
          <cell r="AG1820" t="str">
            <v>ЮНГ</v>
          </cell>
        </row>
        <row r="1821">
          <cell r="AG1821" t="str">
            <v>ЮНГ</v>
          </cell>
        </row>
        <row r="1822">
          <cell r="AG1822" t="str">
            <v>ЮНГ</v>
          </cell>
        </row>
        <row r="1823">
          <cell r="AG1823" t="str">
            <v>ЮНГ</v>
          </cell>
        </row>
        <row r="1824">
          <cell r="AG1824" t="str">
            <v>ЮНГ</v>
          </cell>
        </row>
        <row r="1825">
          <cell r="AG1825" t="str">
            <v>ЮНГ</v>
          </cell>
        </row>
        <row r="1826">
          <cell r="AG1826" t="str">
            <v>ЮНГ</v>
          </cell>
        </row>
        <row r="1827">
          <cell r="AG1827" t="str">
            <v>ЮНГ</v>
          </cell>
        </row>
        <row r="1828">
          <cell r="AG1828" t="str">
            <v>ЮНГ</v>
          </cell>
        </row>
        <row r="1829">
          <cell r="AG1829" t="str">
            <v>ЮНГ</v>
          </cell>
        </row>
        <row r="1830">
          <cell r="AG1830" t="str">
            <v>ЮНГ</v>
          </cell>
        </row>
        <row r="1831">
          <cell r="AG1831" t="str">
            <v>ЮНГ</v>
          </cell>
        </row>
        <row r="1832">
          <cell r="AG1832" t="str">
            <v>ЮНГ</v>
          </cell>
        </row>
        <row r="1833">
          <cell r="AG1833" t="str">
            <v>ЮНГ</v>
          </cell>
        </row>
        <row r="1834">
          <cell r="AG1834" t="str">
            <v>ЮНГ</v>
          </cell>
        </row>
        <row r="1835">
          <cell r="AG1835" t="str">
            <v>ЮНГ</v>
          </cell>
        </row>
        <row r="1836">
          <cell r="AG1836" t="str">
            <v>ЮНГ</v>
          </cell>
        </row>
        <row r="1837">
          <cell r="AG1837" t="str">
            <v>ЮНГ</v>
          </cell>
        </row>
        <row r="1838">
          <cell r="AG1838" t="str">
            <v>ЮНГ</v>
          </cell>
        </row>
        <row r="1839">
          <cell r="AG1839" t="str">
            <v>ЮНГ</v>
          </cell>
        </row>
        <row r="1840">
          <cell r="AG1840" t="str">
            <v>ЮНГ</v>
          </cell>
        </row>
        <row r="1841">
          <cell r="AG1841" t="str">
            <v>ЮНГ</v>
          </cell>
        </row>
        <row r="1842">
          <cell r="AG1842" t="str">
            <v>ЮНГ</v>
          </cell>
        </row>
        <row r="1843">
          <cell r="AG1843" t="str">
            <v>ЮНГ</v>
          </cell>
        </row>
        <row r="1844">
          <cell r="AG1844" t="str">
            <v>ЮНГ</v>
          </cell>
        </row>
        <row r="1845">
          <cell r="AG1845" t="str">
            <v>ЮНГ</v>
          </cell>
        </row>
        <row r="1846">
          <cell r="AG1846" t="str">
            <v>ЮНГ</v>
          </cell>
        </row>
        <row r="1847">
          <cell r="AG1847" t="str">
            <v>ЮНГ</v>
          </cell>
        </row>
        <row r="1848">
          <cell r="AG1848" t="str">
            <v>ЮНГ</v>
          </cell>
        </row>
        <row r="1849">
          <cell r="AG1849" t="str">
            <v>ЮНГ</v>
          </cell>
        </row>
        <row r="1850">
          <cell r="AG1850" t="str">
            <v>ЮНГ</v>
          </cell>
        </row>
        <row r="1851">
          <cell r="AG1851" t="str">
            <v>ЮНГ</v>
          </cell>
        </row>
        <row r="1852">
          <cell r="AG1852" t="str">
            <v>ЮНГ</v>
          </cell>
        </row>
        <row r="1853">
          <cell r="AG1853" t="str">
            <v>ЮНГ</v>
          </cell>
        </row>
        <row r="1854">
          <cell r="AG1854" t="str">
            <v>ЮНГ</v>
          </cell>
        </row>
        <row r="1855">
          <cell r="AG1855" t="str">
            <v>ЮНГ</v>
          </cell>
        </row>
        <row r="1856">
          <cell r="AG1856" t="str">
            <v>ЮНГ</v>
          </cell>
        </row>
        <row r="1857">
          <cell r="AG1857" t="str">
            <v>ЮНГ</v>
          </cell>
        </row>
        <row r="1858">
          <cell r="AG1858" t="str">
            <v>ЮНГ</v>
          </cell>
        </row>
        <row r="1859">
          <cell r="AG1859" t="str">
            <v>ЮНГ</v>
          </cell>
        </row>
        <row r="1860">
          <cell r="AG1860" t="str">
            <v>ЮНГ</v>
          </cell>
        </row>
        <row r="1861">
          <cell r="AG1861" t="str">
            <v>ЮНГ</v>
          </cell>
        </row>
        <row r="1862">
          <cell r="AG1862" t="str">
            <v>ЮНГ</v>
          </cell>
        </row>
        <row r="1863">
          <cell r="AG1863" t="str">
            <v>ЮНГ</v>
          </cell>
        </row>
        <row r="1864">
          <cell r="AG1864" t="str">
            <v>ЮНГ</v>
          </cell>
        </row>
        <row r="1865">
          <cell r="AG1865" t="str">
            <v>ЮНГ</v>
          </cell>
        </row>
        <row r="1866">
          <cell r="AG1866" t="str">
            <v>ЮНГ</v>
          </cell>
        </row>
        <row r="1867">
          <cell r="AG1867" t="str">
            <v>ЮНГ</v>
          </cell>
        </row>
        <row r="1868">
          <cell r="AG1868" t="str">
            <v>ЮНГ</v>
          </cell>
        </row>
        <row r="1869">
          <cell r="AG1869" t="str">
            <v>ЮНГ</v>
          </cell>
        </row>
        <row r="1870">
          <cell r="AG1870" t="str">
            <v>ЮНГ</v>
          </cell>
        </row>
        <row r="1871">
          <cell r="AG1871" t="str">
            <v>ЮНГ</v>
          </cell>
        </row>
        <row r="1872">
          <cell r="AG1872" t="str">
            <v>ЮНГ</v>
          </cell>
        </row>
        <row r="1873">
          <cell r="AG1873" t="str">
            <v>ЮНГ</v>
          </cell>
        </row>
        <row r="1874">
          <cell r="AG1874" t="str">
            <v>ЮНГ</v>
          </cell>
        </row>
        <row r="1875">
          <cell r="AG1875" t="str">
            <v>ЮНГ</v>
          </cell>
        </row>
        <row r="1876">
          <cell r="AG1876" t="str">
            <v>ЮНГ</v>
          </cell>
        </row>
        <row r="1877">
          <cell r="AG1877" t="str">
            <v>ЮНГ</v>
          </cell>
        </row>
        <row r="1878">
          <cell r="AG1878" t="str">
            <v>ЮНГ</v>
          </cell>
        </row>
        <row r="1879">
          <cell r="AG1879" t="str">
            <v>ЮНГ</v>
          </cell>
        </row>
        <row r="1880">
          <cell r="AG1880" t="str">
            <v>ЮНГ</v>
          </cell>
        </row>
        <row r="1881">
          <cell r="AG1881" t="str">
            <v>ЮНГ</v>
          </cell>
        </row>
        <row r="1882">
          <cell r="AG1882" t="str">
            <v>ЮНГ</v>
          </cell>
        </row>
        <row r="1883">
          <cell r="AG1883" t="str">
            <v>ЮНГ</v>
          </cell>
        </row>
        <row r="1884">
          <cell r="AG1884" t="str">
            <v>ЮНГ</v>
          </cell>
        </row>
        <row r="1885">
          <cell r="AG1885" t="str">
            <v>ЮНГ</v>
          </cell>
        </row>
        <row r="1886">
          <cell r="AG1886" t="str">
            <v>ЮНГ</v>
          </cell>
        </row>
        <row r="1887">
          <cell r="AG1887" t="str">
            <v>ЮНГ</v>
          </cell>
        </row>
        <row r="1888">
          <cell r="AG1888" t="str">
            <v>ЮНГ</v>
          </cell>
        </row>
        <row r="1889">
          <cell r="AG1889" t="str">
            <v>ЮНГ</v>
          </cell>
        </row>
        <row r="1890">
          <cell r="AG1890" t="str">
            <v>ЮНГ</v>
          </cell>
        </row>
        <row r="1891">
          <cell r="AG1891" t="str">
            <v>ЮНГ</v>
          </cell>
        </row>
        <row r="1892">
          <cell r="AG1892" t="str">
            <v>ЮНГ</v>
          </cell>
        </row>
        <row r="1893">
          <cell r="AG1893" t="str">
            <v>ЮНГ</v>
          </cell>
        </row>
        <row r="1894">
          <cell r="AG1894" t="str">
            <v>ЮНГ</v>
          </cell>
        </row>
        <row r="1895">
          <cell r="AG1895" t="str">
            <v>ЮНГ</v>
          </cell>
        </row>
        <row r="1896">
          <cell r="AG1896" t="str">
            <v>ЮНГ</v>
          </cell>
        </row>
        <row r="1897">
          <cell r="AG1897" t="str">
            <v>ЮНГ</v>
          </cell>
        </row>
        <row r="1898">
          <cell r="AG1898" t="str">
            <v>ЮНГ</v>
          </cell>
        </row>
        <row r="1899">
          <cell r="AG1899" t="str">
            <v>ЮНГ</v>
          </cell>
        </row>
        <row r="1900">
          <cell r="AG1900" t="str">
            <v>ЮНГ</v>
          </cell>
        </row>
        <row r="1901">
          <cell r="AG1901" t="str">
            <v>ЮНГ</v>
          </cell>
        </row>
        <row r="1902">
          <cell r="AG1902" t="str">
            <v>ЮНГ</v>
          </cell>
        </row>
        <row r="1903">
          <cell r="AG1903" t="str">
            <v>ЮНГ</v>
          </cell>
        </row>
        <row r="1904">
          <cell r="AG1904" t="str">
            <v>ЮНГ</v>
          </cell>
        </row>
        <row r="1905">
          <cell r="AG1905" t="str">
            <v>ЮНГ</v>
          </cell>
        </row>
        <row r="1906">
          <cell r="AG1906" t="str">
            <v>ЮНГ</v>
          </cell>
        </row>
        <row r="1907">
          <cell r="AG1907" t="str">
            <v>ЮНГ</v>
          </cell>
        </row>
        <row r="1908">
          <cell r="AG1908" t="str">
            <v>ЮНГ</v>
          </cell>
        </row>
        <row r="1909">
          <cell r="AG1909" t="str">
            <v>ЮНГ</v>
          </cell>
        </row>
        <row r="1910">
          <cell r="AG1910" t="str">
            <v>ЮНГ</v>
          </cell>
        </row>
        <row r="1911">
          <cell r="AG1911" t="str">
            <v>ЮНГ</v>
          </cell>
        </row>
        <row r="1912">
          <cell r="AG1912" t="str">
            <v>ЮНГ</v>
          </cell>
        </row>
        <row r="1913">
          <cell r="AG1913" t="str">
            <v>ЮНГ</v>
          </cell>
        </row>
        <row r="1914">
          <cell r="AG1914" t="str">
            <v>ЮНГ</v>
          </cell>
        </row>
        <row r="1915">
          <cell r="AG1915" t="str">
            <v>ЮНГ</v>
          </cell>
        </row>
        <row r="1916">
          <cell r="AG1916" t="str">
            <v>ЮНГ</v>
          </cell>
        </row>
        <row r="1917">
          <cell r="AG1917" t="str">
            <v>ЮНГ</v>
          </cell>
        </row>
        <row r="1918">
          <cell r="AG1918" t="str">
            <v>ЮНГ</v>
          </cell>
        </row>
        <row r="1919">
          <cell r="AG1919" t="str">
            <v>ЮНГ</v>
          </cell>
        </row>
        <row r="1920">
          <cell r="AG1920" t="str">
            <v>ЮНГ</v>
          </cell>
        </row>
        <row r="1921">
          <cell r="AG1921" t="str">
            <v>ЮНГ</v>
          </cell>
        </row>
        <row r="1922">
          <cell r="AG1922" t="str">
            <v>ЮНГ</v>
          </cell>
        </row>
        <row r="1923">
          <cell r="AG1923" t="str">
            <v>ЮНГ</v>
          </cell>
        </row>
        <row r="1924">
          <cell r="AG1924" t="str">
            <v>ЮНГ</v>
          </cell>
        </row>
        <row r="1925">
          <cell r="AG1925" t="str">
            <v>ЮНГ</v>
          </cell>
        </row>
        <row r="1926">
          <cell r="AG1926" t="str">
            <v>ЮНГ</v>
          </cell>
        </row>
        <row r="1927">
          <cell r="AG1927" t="str">
            <v>ЮНГ</v>
          </cell>
        </row>
        <row r="1928">
          <cell r="AG1928" t="str">
            <v>ЮНГ</v>
          </cell>
        </row>
        <row r="1929">
          <cell r="AG1929" t="str">
            <v>ЮНГ</v>
          </cell>
        </row>
        <row r="1930">
          <cell r="AG1930" t="str">
            <v>ЮНГ</v>
          </cell>
        </row>
        <row r="1931">
          <cell r="AG1931" t="str">
            <v>ЮНГ</v>
          </cell>
        </row>
        <row r="1932">
          <cell r="AG1932" t="str">
            <v>ЮНГ</v>
          </cell>
        </row>
        <row r="1933">
          <cell r="AG1933" t="str">
            <v>ЮНГ</v>
          </cell>
        </row>
        <row r="1934">
          <cell r="AG1934" t="str">
            <v>ЮНГ</v>
          </cell>
        </row>
        <row r="1935">
          <cell r="AG1935" t="str">
            <v>ЮНГ</v>
          </cell>
        </row>
        <row r="1936">
          <cell r="AG1936" t="str">
            <v>ЮНГ</v>
          </cell>
        </row>
        <row r="1937">
          <cell r="AG1937" t="str">
            <v>ЮНГ</v>
          </cell>
        </row>
        <row r="1938">
          <cell r="AG1938" t="str">
            <v>ЮНГ</v>
          </cell>
        </row>
        <row r="1939">
          <cell r="AG1939" t="str">
            <v>ЮНГ</v>
          </cell>
        </row>
        <row r="1940">
          <cell r="AG1940" t="str">
            <v>ЮНГ</v>
          </cell>
        </row>
        <row r="1941">
          <cell r="AG1941" t="str">
            <v>ЮНГ</v>
          </cell>
        </row>
        <row r="1942">
          <cell r="AG1942" t="str">
            <v>ЮНГ</v>
          </cell>
        </row>
        <row r="1943">
          <cell r="AG1943" t="str">
            <v>ЮНГ</v>
          </cell>
        </row>
        <row r="1944">
          <cell r="AG1944" t="str">
            <v>ЮНГ</v>
          </cell>
        </row>
        <row r="1945">
          <cell r="AG1945" t="str">
            <v>ЮНГ</v>
          </cell>
        </row>
        <row r="1946">
          <cell r="AG1946" t="str">
            <v>ЮНГ</v>
          </cell>
        </row>
        <row r="1947">
          <cell r="AG1947" t="str">
            <v>ЮНГ</v>
          </cell>
        </row>
        <row r="1948">
          <cell r="AG1948" t="str">
            <v>ЮНГ</v>
          </cell>
        </row>
        <row r="1949">
          <cell r="AG1949" t="str">
            <v>ЮНГ</v>
          </cell>
        </row>
        <row r="1950">
          <cell r="AG1950" t="str">
            <v>ЮНГ</v>
          </cell>
        </row>
        <row r="1951">
          <cell r="AG1951" t="str">
            <v>ЮНГ</v>
          </cell>
        </row>
        <row r="1952">
          <cell r="AG1952" t="str">
            <v>ЮНГ</v>
          </cell>
        </row>
        <row r="1953">
          <cell r="AG1953" t="str">
            <v>ЮНГ</v>
          </cell>
        </row>
        <row r="1954">
          <cell r="AG1954" t="str">
            <v>ЮНГ</v>
          </cell>
        </row>
        <row r="1955">
          <cell r="AG1955" t="str">
            <v>ЮНГ</v>
          </cell>
        </row>
        <row r="1956">
          <cell r="AG1956" t="str">
            <v>ЮНГ</v>
          </cell>
        </row>
        <row r="1957">
          <cell r="AG1957" t="str">
            <v>ЮНГ</v>
          </cell>
        </row>
        <row r="1958">
          <cell r="AG1958" t="str">
            <v>ЮНГ</v>
          </cell>
        </row>
        <row r="1959">
          <cell r="AG1959" t="str">
            <v>ЮНГ</v>
          </cell>
        </row>
        <row r="1960">
          <cell r="AG1960" t="str">
            <v>ЮНГ</v>
          </cell>
        </row>
        <row r="1961">
          <cell r="AG1961" t="str">
            <v>ЮНГ</v>
          </cell>
        </row>
        <row r="1962">
          <cell r="AG1962" t="str">
            <v>ЮНГ</v>
          </cell>
        </row>
        <row r="1963">
          <cell r="AG1963" t="str">
            <v>ЮНГ</v>
          </cell>
        </row>
        <row r="1964">
          <cell r="AG1964" t="str">
            <v>ЮНГ</v>
          </cell>
        </row>
        <row r="1965">
          <cell r="AG1965" t="str">
            <v>ЮНГ</v>
          </cell>
        </row>
        <row r="1966">
          <cell r="AG1966" t="str">
            <v>ЮНГ</v>
          </cell>
        </row>
        <row r="1967">
          <cell r="AG1967" t="str">
            <v>ЮНГ</v>
          </cell>
        </row>
        <row r="1968">
          <cell r="AG1968" t="str">
            <v>ЮНГ</v>
          </cell>
        </row>
        <row r="1969">
          <cell r="AG1969" t="str">
            <v>ЮНГ</v>
          </cell>
        </row>
        <row r="1970">
          <cell r="AG1970" t="str">
            <v>ЮНГ</v>
          </cell>
        </row>
        <row r="1971">
          <cell r="AG1971" t="str">
            <v>ЮНГ</v>
          </cell>
        </row>
        <row r="1972">
          <cell r="AG1972" t="str">
            <v>ЮНГ</v>
          </cell>
        </row>
        <row r="1973">
          <cell r="AG1973" t="str">
            <v>ЮНГ</v>
          </cell>
        </row>
        <row r="1974">
          <cell r="AG1974" t="str">
            <v>ЮНГ</v>
          </cell>
        </row>
        <row r="1975">
          <cell r="AG1975" t="str">
            <v>ЮНГ</v>
          </cell>
        </row>
        <row r="1976">
          <cell r="AG1976" t="str">
            <v>ЮНГ</v>
          </cell>
        </row>
        <row r="1977">
          <cell r="AG1977" t="str">
            <v>ЮНГ</v>
          </cell>
        </row>
        <row r="1978">
          <cell r="AG1978" t="str">
            <v>ЮНГ</v>
          </cell>
        </row>
        <row r="1979">
          <cell r="AG1979" t="str">
            <v>ЮНГ</v>
          </cell>
        </row>
        <row r="1980">
          <cell r="AG1980" t="str">
            <v>ЮНГ</v>
          </cell>
        </row>
        <row r="1981">
          <cell r="AG1981" t="str">
            <v>ЮНГ</v>
          </cell>
        </row>
        <row r="1982">
          <cell r="AG1982" t="str">
            <v>ЮНГ</v>
          </cell>
        </row>
        <row r="1983">
          <cell r="AG1983" t="str">
            <v>ЮНГ</v>
          </cell>
        </row>
        <row r="1984">
          <cell r="AG1984" t="str">
            <v>ЮНГ</v>
          </cell>
        </row>
        <row r="1985">
          <cell r="AG1985" t="str">
            <v>ЮНГ</v>
          </cell>
        </row>
        <row r="1986">
          <cell r="AG1986" t="str">
            <v>ЮНГ</v>
          </cell>
        </row>
        <row r="1987">
          <cell r="AG1987" t="str">
            <v>ЮНГ</v>
          </cell>
        </row>
        <row r="1988">
          <cell r="AG1988" t="str">
            <v>ЮНГ</v>
          </cell>
        </row>
        <row r="1989">
          <cell r="AG1989" t="str">
            <v>ЮНГ</v>
          </cell>
        </row>
        <row r="1990">
          <cell r="AG1990" t="str">
            <v>ЮНГ</v>
          </cell>
        </row>
        <row r="1991">
          <cell r="AG1991" t="str">
            <v>ЮНГ</v>
          </cell>
        </row>
        <row r="1992">
          <cell r="AG1992" t="str">
            <v>ЮНГ</v>
          </cell>
        </row>
        <row r="1993">
          <cell r="AG1993" t="str">
            <v>ЮНГ</v>
          </cell>
        </row>
        <row r="1994">
          <cell r="AG1994" t="str">
            <v>ЮНГ</v>
          </cell>
        </row>
        <row r="1995">
          <cell r="AG1995" t="str">
            <v>ЮНГ</v>
          </cell>
        </row>
        <row r="1996">
          <cell r="AG1996" t="str">
            <v>ЮНГ</v>
          </cell>
        </row>
        <row r="1997">
          <cell r="AG1997" t="str">
            <v>ЮНГ</v>
          </cell>
        </row>
        <row r="1998">
          <cell r="AG1998" t="str">
            <v>ЮНГ</v>
          </cell>
        </row>
        <row r="1999">
          <cell r="AG1999" t="str">
            <v>ЮНГ</v>
          </cell>
        </row>
        <row r="2000">
          <cell r="AG2000" t="str">
            <v>ЮНГ</v>
          </cell>
        </row>
        <row r="2001">
          <cell r="AG2001" t="str">
            <v>ЮНГ</v>
          </cell>
        </row>
        <row r="2002">
          <cell r="AG2002" t="str">
            <v>ЮНГ</v>
          </cell>
        </row>
        <row r="2003">
          <cell r="AG2003" t="str">
            <v>ЮНГ</v>
          </cell>
        </row>
        <row r="2004">
          <cell r="AG2004" t="str">
            <v>ЮНГ</v>
          </cell>
        </row>
        <row r="2005">
          <cell r="AG2005" t="str">
            <v>ЮНГ</v>
          </cell>
        </row>
        <row r="2006">
          <cell r="AG2006" t="str">
            <v>ЮНГ</v>
          </cell>
        </row>
        <row r="2007">
          <cell r="AG2007" t="str">
            <v>ЮНГ</v>
          </cell>
        </row>
        <row r="2008">
          <cell r="AG2008" t="str">
            <v>ЮНГ</v>
          </cell>
        </row>
        <row r="2009">
          <cell r="AG2009" t="str">
            <v>ЮНГ</v>
          </cell>
        </row>
        <row r="2010">
          <cell r="AG2010" t="str">
            <v>ЮНГ</v>
          </cell>
        </row>
        <row r="2011">
          <cell r="AG2011" t="str">
            <v>ЮНГ</v>
          </cell>
        </row>
        <row r="2012">
          <cell r="AG2012" t="str">
            <v>ЮНГ</v>
          </cell>
        </row>
        <row r="2013">
          <cell r="AG2013" t="str">
            <v>ЮНГ</v>
          </cell>
        </row>
        <row r="2014">
          <cell r="AG2014" t="str">
            <v>ЮНГ</v>
          </cell>
        </row>
        <row r="2015">
          <cell r="AG2015" t="str">
            <v>ЮНГ</v>
          </cell>
        </row>
        <row r="2016">
          <cell r="AG2016" t="str">
            <v>ЮНГ</v>
          </cell>
        </row>
        <row r="2017">
          <cell r="AG2017" t="str">
            <v>ЮНГ</v>
          </cell>
        </row>
        <row r="2018">
          <cell r="AG2018" t="str">
            <v>ЮНГ</v>
          </cell>
        </row>
        <row r="2019">
          <cell r="AG2019" t="str">
            <v>ЮНГ</v>
          </cell>
        </row>
        <row r="2020">
          <cell r="AG2020" t="str">
            <v>ЮНГ</v>
          </cell>
        </row>
        <row r="2021">
          <cell r="AG2021" t="str">
            <v>ЮНГ</v>
          </cell>
        </row>
        <row r="2022">
          <cell r="AG2022" t="str">
            <v>ЮНГ</v>
          </cell>
        </row>
        <row r="2023">
          <cell r="AG2023" t="str">
            <v>ЮНГ</v>
          </cell>
        </row>
        <row r="2024">
          <cell r="AG2024" t="str">
            <v>ЮНГ</v>
          </cell>
        </row>
        <row r="2025">
          <cell r="AG2025" t="str">
            <v>ЮНГ</v>
          </cell>
        </row>
        <row r="2026">
          <cell r="AG2026" t="str">
            <v>ЮНГ</v>
          </cell>
        </row>
        <row r="2027">
          <cell r="AG2027" t="str">
            <v>ЮНГ</v>
          </cell>
        </row>
        <row r="2028">
          <cell r="AG2028" t="str">
            <v>ЮНГ</v>
          </cell>
        </row>
        <row r="2029">
          <cell r="AG2029" t="str">
            <v>ЮНГ</v>
          </cell>
        </row>
        <row r="2030">
          <cell r="AG2030" t="str">
            <v>ЮНГ</v>
          </cell>
        </row>
        <row r="2031">
          <cell r="AG2031" t="str">
            <v>ЮНГ</v>
          </cell>
        </row>
        <row r="2032">
          <cell r="AG2032" t="str">
            <v>ЮНГ</v>
          </cell>
        </row>
        <row r="2033">
          <cell r="AG2033" t="str">
            <v>ЮНГ</v>
          </cell>
        </row>
        <row r="2034">
          <cell r="AG2034" t="str">
            <v>ЮНГ</v>
          </cell>
        </row>
        <row r="2035">
          <cell r="AG2035" t="str">
            <v>ЮНГ</v>
          </cell>
        </row>
        <row r="2036">
          <cell r="AG2036" t="str">
            <v>ЮНГ</v>
          </cell>
        </row>
        <row r="2037">
          <cell r="AG2037" t="str">
            <v>ЮНГ</v>
          </cell>
        </row>
        <row r="2038">
          <cell r="AG2038" t="str">
            <v>ЮНГ</v>
          </cell>
        </row>
        <row r="2039">
          <cell r="AG2039" t="str">
            <v>ЮНГ</v>
          </cell>
        </row>
        <row r="2040">
          <cell r="AG2040" t="str">
            <v>ЮНГ</v>
          </cell>
        </row>
        <row r="2041">
          <cell r="AG2041" t="str">
            <v>ЮНГ</v>
          </cell>
        </row>
        <row r="2042">
          <cell r="AG2042" t="str">
            <v>ЮНГ</v>
          </cell>
        </row>
        <row r="2043">
          <cell r="AG2043" t="str">
            <v>ЮНГ</v>
          </cell>
        </row>
        <row r="2044">
          <cell r="AG2044" t="str">
            <v>ЮНГ</v>
          </cell>
        </row>
        <row r="2045">
          <cell r="AG2045" t="str">
            <v>ЮНГ</v>
          </cell>
        </row>
        <row r="2046">
          <cell r="AG2046" t="str">
            <v>ЮНГ</v>
          </cell>
        </row>
        <row r="2047">
          <cell r="AG2047" t="str">
            <v>ЮНГ</v>
          </cell>
        </row>
        <row r="2048">
          <cell r="AG2048" t="str">
            <v>ЮНГ</v>
          </cell>
        </row>
        <row r="2049">
          <cell r="AG2049" t="str">
            <v>ЮНГ</v>
          </cell>
        </row>
        <row r="2050">
          <cell r="AG2050" t="str">
            <v>ЮНГ</v>
          </cell>
        </row>
        <row r="2051">
          <cell r="AG2051" t="str">
            <v>ЮНГ</v>
          </cell>
        </row>
        <row r="2052">
          <cell r="AG2052" t="str">
            <v>ЮНГ</v>
          </cell>
        </row>
        <row r="2053">
          <cell r="AG2053" t="str">
            <v>ЮНГ</v>
          </cell>
        </row>
        <row r="2054">
          <cell r="AG2054" t="str">
            <v>ЮНГ</v>
          </cell>
        </row>
        <row r="2055">
          <cell r="AG2055" t="str">
            <v>ЮНГ</v>
          </cell>
        </row>
        <row r="2056">
          <cell r="AG2056" t="str">
            <v>ЮНГ</v>
          </cell>
        </row>
        <row r="2057">
          <cell r="AG2057" t="str">
            <v>ЮНГ</v>
          </cell>
        </row>
        <row r="2058">
          <cell r="AG2058" t="str">
            <v>ЮНГ</v>
          </cell>
        </row>
        <row r="2059">
          <cell r="AG2059" t="str">
            <v>ЮНГ</v>
          </cell>
        </row>
        <row r="2060">
          <cell r="AG2060" t="str">
            <v>ЮНГ</v>
          </cell>
        </row>
        <row r="2061">
          <cell r="AG2061" t="str">
            <v>ЮНГ</v>
          </cell>
        </row>
        <row r="2062">
          <cell r="AG2062" t="str">
            <v>ЮНГ</v>
          </cell>
        </row>
        <row r="2063">
          <cell r="AG2063" t="str">
            <v>ЮНГ</v>
          </cell>
        </row>
        <row r="2064">
          <cell r="AG2064" t="str">
            <v>ЮНГ</v>
          </cell>
        </row>
        <row r="2065">
          <cell r="AG2065" t="str">
            <v>ЮНГ</v>
          </cell>
        </row>
        <row r="2066">
          <cell r="AG2066" t="str">
            <v>ЮНГ</v>
          </cell>
        </row>
        <row r="2067">
          <cell r="AG2067" t="str">
            <v>ЮНГ</v>
          </cell>
        </row>
        <row r="2068">
          <cell r="AG2068" t="str">
            <v>ЮНГ</v>
          </cell>
        </row>
        <row r="2069">
          <cell r="AG2069" t="str">
            <v>ЮНГ</v>
          </cell>
        </row>
        <row r="2070">
          <cell r="AG2070" t="str">
            <v>ЮНГ</v>
          </cell>
        </row>
        <row r="2071">
          <cell r="AG2071" t="str">
            <v>ЮНГ</v>
          </cell>
        </row>
        <row r="2072">
          <cell r="AG2072" t="str">
            <v>ЮНГ</v>
          </cell>
        </row>
        <row r="2073">
          <cell r="AG2073" t="str">
            <v>ЮНГ</v>
          </cell>
        </row>
        <row r="2074">
          <cell r="AG2074" t="str">
            <v>ЮНГ</v>
          </cell>
        </row>
        <row r="2075">
          <cell r="AG2075" t="str">
            <v>ЮНГ</v>
          </cell>
        </row>
        <row r="2076">
          <cell r="AG2076" t="str">
            <v>ЮНГ</v>
          </cell>
        </row>
        <row r="2077">
          <cell r="AG2077" t="str">
            <v>ЮНГ</v>
          </cell>
        </row>
        <row r="2078">
          <cell r="AG2078" t="str">
            <v>ЮНГ</v>
          </cell>
        </row>
        <row r="2079">
          <cell r="AG2079" t="str">
            <v>ЮНГ</v>
          </cell>
        </row>
        <row r="2080">
          <cell r="AG2080" t="str">
            <v>ЮНГ</v>
          </cell>
        </row>
        <row r="2081">
          <cell r="AG2081" t="str">
            <v>ЮНГ</v>
          </cell>
        </row>
        <row r="2082">
          <cell r="AG2082" t="str">
            <v>ЮНГ</v>
          </cell>
        </row>
        <row r="2083">
          <cell r="AG2083" t="str">
            <v>ЮНГ</v>
          </cell>
        </row>
        <row r="2084">
          <cell r="AG2084" t="str">
            <v>ЮНГ</v>
          </cell>
        </row>
        <row r="2085">
          <cell r="AG2085" t="str">
            <v>ЮНГ</v>
          </cell>
        </row>
        <row r="2086">
          <cell r="AG2086" t="str">
            <v>ЮНГ</v>
          </cell>
        </row>
        <row r="2087">
          <cell r="AG2087" t="str">
            <v>ЮНГ</v>
          </cell>
        </row>
        <row r="2088">
          <cell r="AG2088" t="str">
            <v>ЮНГ</v>
          </cell>
        </row>
        <row r="2089">
          <cell r="AG2089" t="str">
            <v>ЮНГ</v>
          </cell>
        </row>
        <row r="2090">
          <cell r="AG2090" t="str">
            <v>ЮНГ</v>
          </cell>
        </row>
        <row r="2091">
          <cell r="AG2091" t="str">
            <v>ЮНГ</v>
          </cell>
        </row>
        <row r="2092">
          <cell r="AG2092" t="str">
            <v>ЮНГ</v>
          </cell>
        </row>
        <row r="2093">
          <cell r="AG2093" t="str">
            <v>ЮНГ</v>
          </cell>
        </row>
        <row r="2094">
          <cell r="AG2094" t="str">
            <v>ЮНГ</v>
          </cell>
        </row>
        <row r="2095">
          <cell r="AG2095" t="str">
            <v>ЮНГ</v>
          </cell>
        </row>
        <row r="2096">
          <cell r="AG2096" t="str">
            <v>ЮНГ</v>
          </cell>
        </row>
        <row r="2097">
          <cell r="AG2097" t="str">
            <v>ЮНГ</v>
          </cell>
        </row>
        <row r="2098">
          <cell r="AG2098" t="str">
            <v>ЮНГ</v>
          </cell>
        </row>
        <row r="2099">
          <cell r="AG2099" t="str">
            <v>ЮНГ</v>
          </cell>
        </row>
        <row r="2100">
          <cell r="AG2100" t="str">
            <v>ЮНГ</v>
          </cell>
        </row>
        <row r="2101">
          <cell r="AG2101" t="str">
            <v>ЮНГ</v>
          </cell>
        </row>
        <row r="2102">
          <cell r="AG2102" t="str">
            <v>ЮНГ</v>
          </cell>
        </row>
        <row r="2103">
          <cell r="AG2103" t="str">
            <v>ЮНГ</v>
          </cell>
        </row>
        <row r="2104">
          <cell r="AG2104" t="str">
            <v>ЮНГ</v>
          </cell>
        </row>
        <row r="2105">
          <cell r="AG2105" t="str">
            <v>ЮНГ</v>
          </cell>
        </row>
        <row r="2106">
          <cell r="AG2106" t="str">
            <v>ЮНГ</v>
          </cell>
        </row>
        <row r="2107">
          <cell r="AG2107" t="str">
            <v>ЮНГ</v>
          </cell>
        </row>
        <row r="2108">
          <cell r="AG2108" t="str">
            <v>ЮНГ</v>
          </cell>
        </row>
        <row r="2109">
          <cell r="AG2109" t="str">
            <v>ЮНГ</v>
          </cell>
        </row>
        <row r="2110">
          <cell r="AG2110" t="str">
            <v>ЮНГ</v>
          </cell>
        </row>
        <row r="2111">
          <cell r="AG2111" t="str">
            <v>ЮНГ</v>
          </cell>
        </row>
        <row r="2112">
          <cell r="AG2112" t="str">
            <v>ЮНГ</v>
          </cell>
        </row>
        <row r="2113">
          <cell r="AG2113" t="str">
            <v>ЮНГ</v>
          </cell>
        </row>
        <row r="2114">
          <cell r="AG2114" t="str">
            <v>ЮНГ</v>
          </cell>
        </row>
        <row r="2115">
          <cell r="AG2115" t="str">
            <v>ЮНГ</v>
          </cell>
        </row>
        <row r="2116">
          <cell r="AG2116" t="str">
            <v>ЮНГ</v>
          </cell>
        </row>
        <row r="2117">
          <cell r="AG2117" t="str">
            <v>ЮНГ</v>
          </cell>
        </row>
        <row r="2118">
          <cell r="AG2118" t="str">
            <v>ЮНГ</v>
          </cell>
        </row>
        <row r="2119">
          <cell r="AG2119" t="str">
            <v>ЮНГ</v>
          </cell>
        </row>
        <row r="2120">
          <cell r="AG2120" t="str">
            <v>ЮНГ</v>
          </cell>
        </row>
        <row r="2121">
          <cell r="AG2121" t="str">
            <v>ЮНГ</v>
          </cell>
        </row>
        <row r="2122">
          <cell r="AG2122" t="str">
            <v>ЮНГ</v>
          </cell>
        </row>
        <row r="2123">
          <cell r="AG2123" t="str">
            <v>ЮНГ</v>
          </cell>
        </row>
        <row r="2124">
          <cell r="AG2124" t="str">
            <v>ЮНГ</v>
          </cell>
        </row>
        <row r="2125">
          <cell r="AG2125" t="str">
            <v>ЮНГ</v>
          </cell>
        </row>
        <row r="2126">
          <cell r="AG2126" t="str">
            <v>ЮНГ</v>
          </cell>
        </row>
        <row r="2127">
          <cell r="AG2127" t="str">
            <v>ЮНГ</v>
          </cell>
        </row>
        <row r="2128">
          <cell r="AG2128" t="str">
            <v>ЮНГ</v>
          </cell>
        </row>
        <row r="2129">
          <cell r="AG2129" t="str">
            <v>ЮНГ</v>
          </cell>
        </row>
        <row r="2130">
          <cell r="AG2130" t="str">
            <v>ЮНГ</v>
          </cell>
        </row>
        <row r="2131">
          <cell r="AG2131" t="str">
            <v>ЮНГ</v>
          </cell>
        </row>
        <row r="2132">
          <cell r="AG2132" t="str">
            <v>ЮНГ</v>
          </cell>
        </row>
        <row r="2133">
          <cell r="AG2133" t="str">
            <v>ЮНГ</v>
          </cell>
        </row>
        <row r="2134">
          <cell r="AG2134" t="str">
            <v>ЮНГ</v>
          </cell>
        </row>
        <row r="2135">
          <cell r="AG2135" t="str">
            <v>ЮНГ</v>
          </cell>
        </row>
        <row r="2136">
          <cell r="AG2136" t="str">
            <v>ЮНГ</v>
          </cell>
        </row>
        <row r="2137">
          <cell r="AG2137" t="str">
            <v>ЮНГ</v>
          </cell>
        </row>
        <row r="2138">
          <cell r="AG2138" t="str">
            <v>ЮНГ</v>
          </cell>
        </row>
        <row r="2139">
          <cell r="AG2139" t="str">
            <v>ЮНГ</v>
          </cell>
        </row>
        <row r="2140">
          <cell r="AG2140" t="str">
            <v>ЮНГ</v>
          </cell>
        </row>
        <row r="2141">
          <cell r="AG2141" t="str">
            <v>ЮНГ</v>
          </cell>
        </row>
        <row r="2142">
          <cell r="AG2142" t="str">
            <v>ЮНГ</v>
          </cell>
        </row>
        <row r="2143">
          <cell r="AG2143" t="str">
            <v>ЮНГ</v>
          </cell>
        </row>
        <row r="2144">
          <cell r="AG2144" t="str">
            <v>ЮНГ</v>
          </cell>
        </row>
        <row r="2145">
          <cell r="AG2145" t="str">
            <v>ЮНГ</v>
          </cell>
        </row>
        <row r="2146">
          <cell r="AG2146" t="str">
            <v>ЮНГ</v>
          </cell>
        </row>
        <row r="2147">
          <cell r="AG2147" t="str">
            <v>ЮНГ</v>
          </cell>
        </row>
        <row r="2148">
          <cell r="AG2148" t="str">
            <v>ЮНГ</v>
          </cell>
        </row>
        <row r="2149">
          <cell r="AG2149" t="str">
            <v>ЮНГ</v>
          </cell>
        </row>
        <row r="2150">
          <cell r="AG2150" t="str">
            <v>ЮНГ</v>
          </cell>
        </row>
        <row r="2151">
          <cell r="AG2151" t="str">
            <v>ЮНГ</v>
          </cell>
        </row>
        <row r="2152">
          <cell r="AG2152" t="str">
            <v>ЮНГ</v>
          </cell>
        </row>
        <row r="2153">
          <cell r="AG2153" t="str">
            <v>ЮНГ</v>
          </cell>
        </row>
        <row r="2154">
          <cell r="AG2154" t="str">
            <v>ЮНГ</v>
          </cell>
        </row>
        <row r="2155">
          <cell r="AG2155" t="str">
            <v>ЮНГ</v>
          </cell>
        </row>
        <row r="2156">
          <cell r="AG2156" t="str">
            <v>ЮНГ</v>
          </cell>
        </row>
        <row r="2157">
          <cell r="AG2157" t="str">
            <v>ЮНГ</v>
          </cell>
        </row>
        <row r="2158">
          <cell r="AG2158" t="str">
            <v>ЮНГ</v>
          </cell>
        </row>
        <row r="2159">
          <cell r="AG2159" t="str">
            <v>ЮНГ</v>
          </cell>
        </row>
        <row r="2160">
          <cell r="AG2160" t="str">
            <v>ЮНГ</v>
          </cell>
        </row>
        <row r="2161">
          <cell r="AG2161" t="str">
            <v>ЮНГ</v>
          </cell>
        </row>
        <row r="2162">
          <cell r="AG2162" t="str">
            <v>ЮНГ</v>
          </cell>
        </row>
        <row r="2163">
          <cell r="AG2163" t="str">
            <v>ЮНГ</v>
          </cell>
        </row>
        <row r="2164">
          <cell r="AG2164" t="str">
            <v>ЮНГ</v>
          </cell>
        </row>
        <row r="2165">
          <cell r="AG2165" t="str">
            <v>ЮНГ</v>
          </cell>
        </row>
        <row r="2166">
          <cell r="AG2166" t="str">
            <v>ЮНГ</v>
          </cell>
        </row>
        <row r="2167">
          <cell r="AG2167" t="str">
            <v>ЮНГ</v>
          </cell>
        </row>
        <row r="2168">
          <cell r="AG2168" t="str">
            <v>ЮНГ</v>
          </cell>
        </row>
        <row r="2169">
          <cell r="AG2169" t="str">
            <v>ЮНГ</v>
          </cell>
        </row>
        <row r="2170">
          <cell r="AG2170" t="str">
            <v>ЮНГ</v>
          </cell>
        </row>
        <row r="2171">
          <cell r="AG2171" t="str">
            <v>ЮНГ</v>
          </cell>
        </row>
        <row r="2172">
          <cell r="AG2172" t="str">
            <v>ЮНГ</v>
          </cell>
        </row>
        <row r="2173">
          <cell r="AG2173" t="str">
            <v>ЮНГ</v>
          </cell>
        </row>
        <row r="2174">
          <cell r="AG2174" t="str">
            <v>ЮНГ</v>
          </cell>
        </row>
        <row r="2175">
          <cell r="AG2175" t="str">
            <v>ЮНГ</v>
          </cell>
        </row>
        <row r="2176">
          <cell r="AG2176" t="str">
            <v>ЮНГ</v>
          </cell>
        </row>
        <row r="2177">
          <cell r="AG2177" t="str">
            <v>ЮНГ</v>
          </cell>
        </row>
        <row r="2178">
          <cell r="AG2178" t="str">
            <v>ЮНГ</v>
          </cell>
        </row>
        <row r="2179">
          <cell r="AG2179" t="str">
            <v>ЮНГ</v>
          </cell>
        </row>
        <row r="2180">
          <cell r="AG2180" t="str">
            <v>ЮНГ</v>
          </cell>
        </row>
        <row r="2181">
          <cell r="AG2181" t="str">
            <v>ЮНГ</v>
          </cell>
        </row>
        <row r="2182">
          <cell r="AG2182" t="str">
            <v>ЮНГ</v>
          </cell>
        </row>
        <row r="2183">
          <cell r="AG2183" t="str">
            <v>ЮНГ</v>
          </cell>
        </row>
        <row r="2184">
          <cell r="AG2184" t="str">
            <v>ЮНГ</v>
          </cell>
        </row>
        <row r="2185">
          <cell r="AG2185" t="str">
            <v>ЮНГ</v>
          </cell>
        </row>
        <row r="2186">
          <cell r="AG2186" t="str">
            <v>ЮНГ</v>
          </cell>
        </row>
        <row r="2187">
          <cell r="AG2187" t="str">
            <v>ЮНГ</v>
          </cell>
        </row>
        <row r="2188">
          <cell r="AG2188" t="str">
            <v>ЮНГ</v>
          </cell>
        </row>
        <row r="2189">
          <cell r="AG2189" t="str">
            <v>ЮНГ</v>
          </cell>
        </row>
        <row r="2190">
          <cell r="AG2190" t="str">
            <v>ЮНГ</v>
          </cell>
        </row>
        <row r="2191">
          <cell r="AG2191" t="str">
            <v>ЮНГ</v>
          </cell>
        </row>
        <row r="2192">
          <cell r="AG2192" t="str">
            <v>ЮНГ</v>
          </cell>
        </row>
        <row r="2193">
          <cell r="AG2193" t="str">
            <v>ЮНГ</v>
          </cell>
        </row>
        <row r="2194">
          <cell r="AG2194" t="str">
            <v>ЮНГ</v>
          </cell>
        </row>
        <row r="2195">
          <cell r="AG2195" t="str">
            <v>ЮНГ</v>
          </cell>
        </row>
        <row r="2196">
          <cell r="AG2196" t="str">
            <v>ЮНГ</v>
          </cell>
        </row>
        <row r="2197">
          <cell r="AG2197" t="str">
            <v>ЮНГ</v>
          </cell>
        </row>
        <row r="2198">
          <cell r="AG2198" t="str">
            <v>ЮНГ</v>
          </cell>
        </row>
        <row r="2199">
          <cell r="AG2199" t="str">
            <v>ЮНГ</v>
          </cell>
        </row>
        <row r="2200">
          <cell r="AG2200" t="str">
            <v>ЮНГ</v>
          </cell>
        </row>
        <row r="2201">
          <cell r="AG2201" t="str">
            <v>ЮНГ</v>
          </cell>
        </row>
        <row r="2202">
          <cell r="AG2202" t="str">
            <v>ЮНГ</v>
          </cell>
        </row>
        <row r="2203">
          <cell r="AG2203" t="str">
            <v>ЮНГ</v>
          </cell>
        </row>
        <row r="2204">
          <cell r="AG2204" t="str">
            <v>ЮНГ</v>
          </cell>
        </row>
        <row r="2205">
          <cell r="AG2205" t="str">
            <v>ЮНГ</v>
          </cell>
        </row>
        <row r="2206">
          <cell r="AG2206" t="str">
            <v>ЮНГ</v>
          </cell>
        </row>
        <row r="2207">
          <cell r="AG2207" t="str">
            <v>ЮНГ</v>
          </cell>
        </row>
        <row r="2208">
          <cell r="AG2208" t="str">
            <v>ЮНГ</v>
          </cell>
        </row>
        <row r="2209">
          <cell r="AG2209" t="str">
            <v>ЮНГ</v>
          </cell>
        </row>
        <row r="2210">
          <cell r="AG2210" t="str">
            <v>ЮНГ</v>
          </cell>
        </row>
        <row r="2211">
          <cell r="AG2211" t="str">
            <v>ЮНГ</v>
          </cell>
        </row>
        <row r="2212">
          <cell r="AG2212" t="str">
            <v>ЮНГ</v>
          </cell>
        </row>
        <row r="2213">
          <cell r="AG2213" t="str">
            <v>ЮНГ</v>
          </cell>
        </row>
        <row r="2214">
          <cell r="AG2214" t="str">
            <v>ЮНГ</v>
          </cell>
        </row>
        <row r="2215">
          <cell r="AG2215" t="str">
            <v>ЮНГ</v>
          </cell>
        </row>
        <row r="2216">
          <cell r="AG2216" t="str">
            <v>ЮНГ</v>
          </cell>
        </row>
        <row r="2217">
          <cell r="AG2217" t="str">
            <v>ЮНГ</v>
          </cell>
        </row>
        <row r="2218">
          <cell r="AG2218" t="str">
            <v>ЮНГ</v>
          </cell>
        </row>
        <row r="2219">
          <cell r="AG2219" t="str">
            <v>ЮНГ</v>
          </cell>
        </row>
        <row r="2220">
          <cell r="AG2220" t="str">
            <v>ЮНГ</v>
          </cell>
        </row>
        <row r="2221">
          <cell r="AG2221" t="str">
            <v>ЮНГ</v>
          </cell>
        </row>
        <row r="2222">
          <cell r="AG2222" t="str">
            <v>ЮНГ</v>
          </cell>
        </row>
        <row r="2223">
          <cell r="AG2223" t="str">
            <v>ЮНГ</v>
          </cell>
        </row>
        <row r="2224">
          <cell r="AG2224" t="str">
            <v>ЮНГ</v>
          </cell>
        </row>
        <row r="2225">
          <cell r="AG2225" t="str">
            <v>ЮНГ</v>
          </cell>
        </row>
        <row r="2226">
          <cell r="AG2226" t="str">
            <v>ЮНГ</v>
          </cell>
        </row>
        <row r="2227">
          <cell r="AG2227" t="str">
            <v>ЮНГ</v>
          </cell>
        </row>
        <row r="2228">
          <cell r="AG2228" t="str">
            <v>ЮНГ</v>
          </cell>
        </row>
        <row r="2229">
          <cell r="AG2229" t="str">
            <v>ЮНГ</v>
          </cell>
        </row>
        <row r="2230">
          <cell r="AG2230" t="str">
            <v>ЮНГ</v>
          </cell>
        </row>
        <row r="2231">
          <cell r="AG2231" t="str">
            <v>ЮНГ</v>
          </cell>
        </row>
        <row r="2232">
          <cell r="AG2232" t="str">
            <v>ЮНГ</v>
          </cell>
        </row>
        <row r="2233">
          <cell r="AG2233" t="str">
            <v>ЮНГ</v>
          </cell>
        </row>
        <row r="2234">
          <cell r="AG2234" t="str">
            <v>ЮНГ</v>
          </cell>
        </row>
        <row r="2235">
          <cell r="AG2235" t="str">
            <v>ЮНГ</v>
          </cell>
        </row>
        <row r="2236">
          <cell r="AG2236" t="str">
            <v>ЮНГ</v>
          </cell>
        </row>
        <row r="2237">
          <cell r="AG2237" t="str">
            <v>ЮНГ</v>
          </cell>
        </row>
        <row r="2238">
          <cell r="AG2238" t="str">
            <v>ЮНГ</v>
          </cell>
        </row>
        <row r="2239">
          <cell r="AG2239" t="str">
            <v>ЮНГ</v>
          </cell>
        </row>
        <row r="2240">
          <cell r="AG2240" t="str">
            <v>ЮНГ</v>
          </cell>
        </row>
        <row r="2241">
          <cell r="AG2241" t="str">
            <v>ЮНГ</v>
          </cell>
        </row>
        <row r="2242">
          <cell r="AG2242" t="str">
            <v>ЮНГ</v>
          </cell>
        </row>
        <row r="2243">
          <cell r="AG2243" t="str">
            <v>ЮНГ</v>
          </cell>
        </row>
        <row r="2244">
          <cell r="AG2244" t="str">
            <v>ЮНГ</v>
          </cell>
        </row>
        <row r="2245">
          <cell r="AG2245" t="str">
            <v>ЮНГ</v>
          </cell>
        </row>
        <row r="2246">
          <cell r="AG2246" t="str">
            <v>ЮНГ</v>
          </cell>
        </row>
        <row r="2247">
          <cell r="AG2247" t="str">
            <v>ЮНГ</v>
          </cell>
        </row>
        <row r="2248">
          <cell r="AG2248" t="str">
            <v>ЮНГ</v>
          </cell>
        </row>
        <row r="2249">
          <cell r="AG2249" t="str">
            <v>ЮНГ</v>
          </cell>
        </row>
        <row r="2250">
          <cell r="AG2250" t="str">
            <v>ЮНГ</v>
          </cell>
        </row>
        <row r="2251">
          <cell r="AG2251" t="str">
            <v>ЮНГ</v>
          </cell>
        </row>
        <row r="2252">
          <cell r="AG2252" t="str">
            <v>ЮНГ</v>
          </cell>
        </row>
        <row r="2253">
          <cell r="AG2253" t="str">
            <v>ЮНГ</v>
          </cell>
        </row>
        <row r="2254">
          <cell r="AG2254" t="str">
            <v>ЮНГ</v>
          </cell>
        </row>
        <row r="2255">
          <cell r="AG2255" t="str">
            <v>ЮНГ</v>
          </cell>
        </row>
        <row r="2256">
          <cell r="AG2256" t="str">
            <v>ЮНГ</v>
          </cell>
        </row>
        <row r="2257">
          <cell r="AG2257" t="str">
            <v>ЮНГ</v>
          </cell>
        </row>
        <row r="2258">
          <cell r="AG2258" t="str">
            <v>ЮНГ</v>
          </cell>
        </row>
        <row r="2259">
          <cell r="AG2259" t="str">
            <v>ЮНГ</v>
          </cell>
        </row>
        <row r="2260">
          <cell r="AG2260" t="str">
            <v>ЮНГ</v>
          </cell>
        </row>
        <row r="2261">
          <cell r="AG2261" t="str">
            <v>ЮНГ</v>
          </cell>
        </row>
        <row r="2262">
          <cell r="AG2262" t="str">
            <v>ЮНГ</v>
          </cell>
        </row>
        <row r="2263">
          <cell r="AG2263" t="str">
            <v>ЮНГ</v>
          </cell>
        </row>
        <row r="2264">
          <cell r="AG2264" t="str">
            <v>ЮНГ</v>
          </cell>
        </row>
        <row r="2265">
          <cell r="AG2265" t="str">
            <v>ЮНГ</v>
          </cell>
        </row>
        <row r="2266">
          <cell r="AG2266" t="str">
            <v>ЮНГ</v>
          </cell>
        </row>
        <row r="2267">
          <cell r="AG2267" t="str">
            <v>ЮНГ</v>
          </cell>
        </row>
        <row r="2268">
          <cell r="AG2268" t="str">
            <v>ЮНГ</v>
          </cell>
        </row>
        <row r="2269">
          <cell r="AG2269" t="str">
            <v>ЮНГ</v>
          </cell>
        </row>
        <row r="2270">
          <cell r="AG2270" t="str">
            <v>ЮНГ</v>
          </cell>
        </row>
        <row r="2271">
          <cell r="AG2271" t="str">
            <v>ЮНГ</v>
          </cell>
        </row>
        <row r="2272">
          <cell r="AG2272" t="str">
            <v>ЮНГ</v>
          </cell>
        </row>
        <row r="2273">
          <cell r="AG2273" t="str">
            <v>ЮНГ</v>
          </cell>
        </row>
        <row r="2274">
          <cell r="AG2274" t="str">
            <v>ЮНГ</v>
          </cell>
        </row>
        <row r="2275">
          <cell r="AG2275" t="str">
            <v>ЮНГ</v>
          </cell>
        </row>
        <row r="2276">
          <cell r="AG2276" t="str">
            <v>ЮНГ</v>
          </cell>
        </row>
        <row r="2277">
          <cell r="AG2277" t="str">
            <v>ЮНГ</v>
          </cell>
        </row>
        <row r="2278">
          <cell r="AG2278" t="str">
            <v>ЮНГ</v>
          </cell>
        </row>
        <row r="2279">
          <cell r="AG2279" t="str">
            <v>ЮНГ</v>
          </cell>
        </row>
        <row r="2280">
          <cell r="AG2280" t="str">
            <v>ЮНГ</v>
          </cell>
        </row>
        <row r="2281">
          <cell r="AG2281" t="str">
            <v>ЮНГ</v>
          </cell>
        </row>
        <row r="2282">
          <cell r="AG2282" t="str">
            <v>ЮНГ</v>
          </cell>
        </row>
        <row r="2283">
          <cell r="AG2283" t="str">
            <v>ЮНГ</v>
          </cell>
        </row>
        <row r="2284">
          <cell r="AG2284" t="str">
            <v>ЮНГ</v>
          </cell>
        </row>
        <row r="2285">
          <cell r="AG2285" t="str">
            <v>ЮНГ</v>
          </cell>
        </row>
        <row r="2286">
          <cell r="AG2286" t="str">
            <v>ЮНГ</v>
          </cell>
        </row>
        <row r="2287">
          <cell r="AG2287" t="str">
            <v>ЮНГ</v>
          </cell>
        </row>
        <row r="2288">
          <cell r="AG2288" t="str">
            <v>ЮНГ</v>
          </cell>
        </row>
        <row r="2289">
          <cell r="AG2289" t="str">
            <v>ЮНГ</v>
          </cell>
        </row>
        <row r="2290">
          <cell r="AG2290" t="str">
            <v>ЮНГ</v>
          </cell>
        </row>
        <row r="2291">
          <cell r="AG2291" t="str">
            <v>ЮНГ</v>
          </cell>
        </row>
        <row r="2292">
          <cell r="AG2292" t="str">
            <v>ЮНГ</v>
          </cell>
        </row>
        <row r="2293">
          <cell r="AG2293" t="str">
            <v>ЮНГ</v>
          </cell>
        </row>
        <row r="2294">
          <cell r="AG2294" t="str">
            <v>ЮНГ</v>
          </cell>
        </row>
        <row r="2295">
          <cell r="AG2295" t="str">
            <v>ЮНГ</v>
          </cell>
        </row>
        <row r="2296">
          <cell r="AG2296" t="str">
            <v>ЮНГ</v>
          </cell>
        </row>
        <row r="2297">
          <cell r="AG2297" t="str">
            <v>ЮНГ</v>
          </cell>
        </row>
        <row r="2298">
          <cell r="AG2298" t="str">
            <v>ЮНГ</v>
          </cell>
        </row>
        <row r="2299">
          <cell r="AG2299" t="str">
            <v>ЮНГ</v>
          </cell>
        </row>
        <row r="2300">
          <cell r="AG2300" t="str">
            <v>ЮНГ</v>
          </cell>
        </row>
        <row r="2301">
          <cell r="AG2301" t="str">
            <v>ЮНГ</v>
          </cell>
        </row>
        <row r="2302">
          <cell r="AG2302" t="str">
            <v>ЮНГ</v>
          </cell>
        </row>
        <row r="2303">
          <cell r="AG2303" t="str">
            <v>ЮНГ</v>
          </cell>
        </row>
        <row r="2304">
          <cell r="AG2304" t="str">
            <v>ЮНГ</v>
          </cell>
        </row>
        <row r="2305">
          <cell r="AG2305" t="str">
            <v>ЮНГ</v>
          </cell>
        </row>
        <row r="2306">
          <cell r="AG2306" t="str">
            <v>ЮНГ</v>
          </cell>
        </row>
        <row r="2307">
          <cell r="AG2307" t="str">
            <v>ЮНГ</v>
          </cell>
        </row>
        <row r="2308">
          <cell r="AG2308" t="str">
            <v>ЮНГ</v>
          </cell>
        </row>
        <row r="2309">
          <cell r="AG2309" t="str">
            <v>ЮНГ</v>
          </cell>
        </row>
        <row r="2310">
          <cell r="AG2310" t="str">
            <v>ЮНГ</v>
          </cell>
        </row>
        <row r="2311">
          <cell r="AG2311" t="str">
            <v>ЮНГ</v>
          </cell>
        </row>
        <row r="2312">
          <cell r="AG2312" t="str">
            <v>ЮНГ</v>
          </cell>
        </row>
        <row r="2313">
          <cell r="AG2313" t="str">
            <v>ЮНГ</v>
          </cell>
        </row>
        <row r="2314">
          <cell r="AG2314" t="str">
            <v>ЮНГ</v>
          </cell>
        </row>
        <row r="2315">
          <cell r="AG2315" t="str">
            <v>ЮНГ</v>
          </cell>
        </row>
        <row r="2316">
          <cell r="AG2316" t="str">
            <v>ЮНГ</v>
          </cell>
        </row>
        <row r="2317">
          <cell r="AG2317" t="str">
            <v>ЮНГ</v>
          </cell>
        </row>
        <row r="2318">
          <cell r="AG2318" t="str">
            <v>ЮНГ</v>
          </cell>
        </row>
        <row r="2319">
          <cell r="AG2319" t="str">
            <v>ЮНГ</v>
          </cell>
        </row>
        <row r="2320">
          <cell r="AG2320" t="str">
            <v>ЮНГ</v>
          </cell>
        </row>
        <row r="2321">
          <cell r="AG2321" t="str">
            <v>ЮНГ</v>
          </cell>
        </row>
        <row r="2322">
          <cell r="AG2322" t="str">
            <v>ЮНГ</v>
          </cell>
        </row>
        <row r="2323">
          <cell r="AG2323" t="str">
            <v>ЮНГ</v>
          </cell>
        </row>
        <row r="2324">
          <cell r="AG2324" t="str">
            <v>ЮНГ</v>
          </cell>
        </row>
        <row r="2325">
          <cell r="AG2325" t="str">
            <v>ЮНГ</v>
          </cell>
        </row>
        <row r="2326">
          <cell r="AG2326" t="str">
            <v>ЮНГ</v>
          </cell>
        </row>
        <row r="2327">
          <cell r="AG2327" t="str">
            <v>ЮНГ</v>
          </cell>
        </row>
        <row r="2328">
          <cell r="AG2328" t="str">
            <v>ЮНГ</v>
          </cell>
        </row>
        <row r="2329">
          <cell r="AG2329" t="str">
            <v>ЮНГ</v>
          </cell>
        </row>
        <row r="2330">
          <cell r="AG2330" t="str">
            <v>ЮНГ</v>
          </cell>
        </row>
        <row r="2331">
          <cell r="AG2331" t="str">
            <v>ЮНГ</v>
          </cell>
        </row>
        <row r="2332">
          <cell r="AG2332" t="str">
            <v>ЮНГ</v>
          </cell>
        </row>
        <row r="2333">
          <cell r="AG2333" t="str">
            <v>ЮНГ</v>
          </cell>
        </row>
        <row r="2334">
          <cell r="AG2334" t="str">
            <v>ЮНГ</v>
          </cell>
        </row>
        <row r="2335">
          <cell r="AG2335" t="str">
            <v>ЮНГ</v>
          </cell>
        </row>
        <row r="2336">
          <cell r="AG2336" t="str">
            <v>ЮНГ</v>
          </cell>
        </row>
        <row r="2337">
          <cell r="AG2337" t="str">
            <v>ЮНГ</v>
          </cell>
        </row>
        <row r="2338">
          <cell r="AG2338" t="str">
            <v>ЮНГ</v>
          </cell>
        </row>
        <row r="2339">
          <cell r="AG2339" t="str">
            <v>ЮНГ</v>
          </cell>
        </row>
        <row r="2340">
          <cell r="AG2340" t="str">
            <v>ЮНГ</v>
          </cell>
        </row>
        <row r="2341">
          <cell r="AG2341" t="str">
            <v>ЮНГ</v>
          </cell>
        </row>
        <row r="2342">
          <cell r="AG2342" t="str">
            <v>ЮНГ</v>
          </cell>
        </row>
        <row r="2343">
          <cell r="AG2343" t="str">
            <v>ЮНГ</v>
          </cell>
        </row>
        <row r="2344">
          <cell r="AG2344" t="str">
            <v>ЮНГ</v>
          </cell>
        </row>
        <row r="2345">
          <cell r="AG2345" t="str">
            <v>ЮНГ</v>
          </cell>
        </row>
        <row r="2346">
          <cell r="AG2346" t="str">
            <v>ЮНГ</v>
          </cell>
        </row>
        <row r="2347">
          <cell r="AG2347" t="str">
            <v>ЮНГ</v>
          </cell>
        </row>
        <row r="2348">
          <cell r="AG2348" t="str">
            <v>ЮНГ</v>
          </cell>
        </row>
        <row r="2349">
          <cell r="AG2349" t="str">
            <v>ЮНГ</v>
          </cell>
        </row>
        <row r="2350">
          <cell r="AG2350" t="str">
            <v>ЮНГ</v>
          </cell>
        </row>
        <row r="2351">
          <cell r="AG2351" t="str">
            <v>ЮНГ</v>
          </cell>
        </row>
        <row r="2352">
          <cell r="AG2352" t="str">
            <v>ЮНГ</v>
          </cell>
        </row>
        <row r="2353">
          <cell r="AG2353" t="str">
            <v>ЮНГ</v>
          </cell>
        </row>
        <row r="2354">
          <cell r="AG2354" t="str">
            <v>ЮНГ</v>
          </cell>
        </row>
        <row r="2355">
          <cell r="AG2355" t="str">
            <v>ЮНГ</v>
          </cell>
        </row>
        <row r="2356">
          <cell r="AG2356" t="str">
            <v>ЮНГ</v>
          </cell>
        </row>
        <row r="2357">
          <cell r="AG2357" t="str">
            <v>ЮНГ</v>
          </cell>
        </row>
        <row r="2358">
          <cell r="AG2358" t="str">
            <v>ЮНГ</v>
          </cell>
        </row>
        <row r="2359">
          <cell r="AG2359" t="str">
            <v>ЮНГ</v>
          </cell>
        </row>
        <row r="2360">
          <cell r="AG2360" t="str">
            <v>ЮНГ</v>
          </cell>
        </row>
        <row r="2361">
          <cell r="AG2361" t="str">
            <v>ЮНГ</v>
          </cell>
        </row>
        <row r="2362">
          <cell r="AG2362" t="str">
            <v>ЮНГ</v>
          </cell>
        </row>
        <row r="2363">
          <cell r="AG2363" t="str">
            <v>ЮНГ</v>
          </cell>
        </row>
        <row r="2364">
          <cell r="AG2364" t="str">
            <v>ЮНГ</v>
          </cell>
        </row>
        <row r="2365">
          <cell r="AG2365" t="str">
            <v>ЮНГ</v>
          </cell>
        </row>
        <row r="2366">
          <cell r="AG2366" t="str">
            <v>ЮНГ</v>
          </cell>
        </row>
        <row r="2367">
          <cell r="AG2367" t="str">
            <v>ЮНГ</v>
          </cell>
        </row>
        <row r="2368">
          <cell r="AG2368" t="str">
            <v>ЮНГ</v>
          </cell>
        </row>
        <row r="2369">
          <cell r="AG2369" t="str">
            <v>ЮНГ</v>
          </cell>
        </row>
        <row r="2370">
          <cell r="AG2370" t="str">
            <v>ЮНГ</v>
          </cell>
        </row>
        <row r="2371">
          <cell r="AG2371" t="str">
            <v>ЮНГ</v>
          </cell>
        </row>
        <row r="2372">
          <cell r="AG2372" t="str">
            <v>ЮНГ</v>
          </cell>
        </row>
        <row r="2373">
          <cell r="AG2373" t="str">
            <v>ЮНГ</v>
          </cell>
        </row>
        <row r="2374">
          <cell r="AG2374" t="str">
            <v>ЮНГ</v>
          </cell>
        </row>
        <row r="2375">
          <cell r="AG2375" t="str">
            <v>ЮНГ</v>
          </cell>
        </row>
        <row r="2376">
          <cell r="AG2376" t="str">
            <v>ЮНГ</v>
          </cell>
        </row>
        <row r="2377">
          <cell r="AG2377" t="str">
            <v>ЮНГ</v>
          </cell>
        </row>
        <row r="2378">
          <cell r="AG2378" t="str">
            <v>ЮНГ</v>
          </cell>
        </row>
        <row r="2379">
          <cell r="AG2379" t="str">
            <v>ЮНГ</v>
          </cell>
        </row>
        <row r="2380">
          <cell r="AG2380" t="str">
            <v>ЮНГ</v>
          </cell>
        </row>
        <row r="2381">
          <cell r="AG2381" t="str">
            <v>ЮНГ</v>
          </cell>
        </row>
        <row r="2382">
          <cell r="AG2382" t="str">
            <v>ЮНГ</v>
          </cell>
        </row>
        <row r="2383">
          <cell r="AG2383" t="str">
            <v>ЮНГ</v>
          </cell>
        </row>
        <row r="2384">
          <cell r="AG2384" t="str">
            <v>ЮНГ</v>
          </cell>
        </row>
        <row r="2385">
          <cell r="AG2385" t="str">
            <v>ЮНГ</v>
          </cell>
        </row>
        <row r="2386">
          <cell r="AG2386" t="str">
            <v>ЮНГ</v>
          </cell>
        </row>
        <row r="2387">
          <cell r="AG2387" t="str">
            <v>ЮНГ</v>
          </cell>
        </row>
        <row r="2388">
          <cell r="AG2388" t="str">
            <v>ЮНГ</v>
          </cell>
        </row>
        <row r="2389">
          <cell r="AG2389" t="str">
            <v>ЮНГ</v>
          </cell>
        </row>
        <row r="2390">
          <cell r="AG2390" t="str">
            <v>ЮНГ</v>
          </cell>
        </row>
        <row r="2391">
          <cell r="AG2391" t="str">
            <v>ЮНГ</v>
          </cell>
        </row>
        <row r="2392">
          <cell r="AG2392" t="str">
            <v>ЮНГ</v>
          </cell>
        </row>
        <row r="2393">
          <cell r="AG2393" t="str">
            <v>ЮНГ</v>
          </cell>
        </row>
        <row r="2394">
          <cell r="AG2394" t="str">
            <v>ЮНГ</v>
          </cell>
        </row>
        <row r="2395">
          <cell r="AG2395" t="str">
            <v>ЮНГ</v>
          </cell>
        </row>
        <row r="2396">
          <cell r="AG2396" t="str">
            <v>ЮНГ</v>
          </cell>
        </row>
        <row r="2397">
          <cell r="AG2397" t="str">
            <v>ЮНГ</v>
          </cell>
        </row>
        <row r="2398">
          <cell r="AG2398" t="str">
            <v>ЮНГ</v>
          </cell>
        </row>
        <row r="2399">
          <cell r="AG2399" t="str">
            <v>ЮНГ</v>
          </cell>
        </row>
        <row r="2400">
          <cell r="AG2400" t="str">
            <v>ЮНГ</v>
          </cell>
        </row>
        <row r="2401">
          <cell r="AG2401" t="str">
            <v>ЮНГ</v>
          </cell>
        </row>
        <row r="2402">
          <cell r="AG2402" t="str">
            <v>ЮНГ</v>
          </cell>
        </row>
        <row r="2403">
          <cell r="AG2403" t="str">
            <v>ЮНГ</v>
          </cell>
        </row>
        <row r="2404">
          <cell r="AG2404" t="str">
            <v>ЮНГ</v>
          </cell>
        </row>
        <row r="2405">
          <cell r="AG2405" t="str">
            <v>ЮНГ</v>
          </cell>
        </row>
        <row r="2406">
          <cell r="AG2406" t="str">
            <v>ЮНГ</v>
          </cell>
        </row>
        <row r="2407">
          <cell r="AG2407" t="str">
            <v>ЮНГ</v>
          </cell>
        </row>
        <row r="2408">
          <cell r="AG2408" t="str">
            <v>ЮНГ</v>
          </cell>
        </row>
        <row r="2409">
          <cell r="AG2409" t="str">
            <v>ЮНГ</v>
          </cell>
        </row>
        <row r="2410">
          <cell r="AG2410" t="str">
            <v>ЮНГ</v>
          </cell>
        </row>
        <row r="2411">
          <cell r="AG2411" t="str">
            <v>ЮНГ</v>
          </cell>
        </row>
        <row r="2412">
          <cell r="AG2412" t="str">
            <v>ЮНГ</v>
          </cell>
        </row>
        <row r="2413">
          <cell r="AG2413" t="str">
            <v>ЮНГ</v>
          </cell>
        </row>
        <row r="2414">
          <cell r="AG2414" t="str">
            <v>ЮНГ</v>
          </cell>
        </row>
        <row r="2415">
          <cell r="AG2415" t="str">
            <v>ЮНГ</v>
          </cell>
        </row>
        <row r="2416">
          <cell r="AG2416" t="str">
            <v>ЮНГ</v>
          </cell>
        </row>
        <row r="2417">
          <cell r="AG2417" t="str">
            <v>ЮНГ</v>
          </cell>
        </row>
        <row r="2418">
          <cell r="AG2418" t="str">
            <v>ЮНГ</v>
          </cell>
        </row>
        <row r="2419">
          <cell r="AG2419" t="str">
            <v>ЮНГ</v>
          </cell>
        </row>
        <row r="2420">
          <cell r="AG2420" t="str">
            <v>ЮНГ</v>
          </cell>
        </row>
        <row r="2421">
          <cell r="AG2421" t="str">
            <v>ЮНГ</v>
          </cell>
        </row>
        <row r="2422">
          <cell r="AG2422" t="str">
            <v>ЮНГ</v>
          </cell>
        </row>
        <row r="2423">
          <cell r="AG2423" t="str">
            <v>ЮНГ</v>
          </cell>
        </row>
        <row r="2424">
          <cell r="AG2424" t="str">
            <v>ЮНГ</v>
          </cell>
        </row>
        <row r="2425">
          <cell r="AG2425" t="str">
            <v>ЮНГ</v>
          </cell>
        </row>
        <row r="2426">
          <cell r="AG2426" t="str">
            <v>ЮНГ</v>
          </cell>
        </row>
        <row r="2427">
          <cell r="AG2427" t="str">
            <v>ЮНГ</v>
          </cell>
        </row>
        <row r="2428">
          <cell r="AG2428" t="str">
            <v>ЮНГ</v>
          </cell>
        </row>
        <row r="2429">
          <cell r="AG2429" t="str">
            <v>ЮНГ</v>
          </cell>
        </row>
        <row r="2430">
          <cell r="AG2430" t="str">
            <v>ЮНГ</v>
          </cell>
        </row>
        <row r="2431">
          <cell r="AG2431" t="str">
            <v>ЮНГ</v>
          </cell>
        </row>
        <row r="2432">
          <cell r="AG2432" t="str">
            <v>ЮНГ</v>
          </cell>
        </row>
        <row r="2433">
          <cell r="AG2433" t="str">
            <v>ЮНГ</v>
          </cell>
        </row>
        <row r="2434">
          <cell r="AG2434" t="str">
            <v>ЮНГ</v>
          </cell>
        </row>
        <row r="2435">
          <cell r="AG2435" t="str">
            <v>ЮНГ</v>
          </cell>
        </row>
        <row r="2436">
          <cell r="AG2436" t="str">
            <v>ЮНГ</v>
          </cell>
        </row>
        <row r="2437">
          <cell r="AG2437" t="str">
            <v>ЮНГ</v>
          </cell>
        </row>
        <row r="2438">
          <cell r="AG2438" t="str">
            <v>ЮНГ</v>
          </cell>
        </row>
        <row r="2439">
          <cell r="AG2439" t="str">
            <v>ЮНГ</v>
          </cell>
        </row>
        <row r="2440">
          <cell r="AG2440" t="str">
            <v>ЮНГ</v>
          </cell>
        </row>
        <row r="2441">
          <cell r="AG2441" t="str">
            <v>ЮНГ</v>
          </cell>
        </row>
        <row r="2442">
          <cell r="AG2442" t="str">
            <v>ЮНГ</v>
          </cell>
        </row>
        <row r="2443">
          <cell r="AG2443" t="str">
            <v>ЮНГ</v>
          </cell>
        </row>
        <row r="2444">
          <cell r="AG2444" t="str">
            <v>ЮНГ</v>
          </cell>
        </row>
        <row r="2445">
          <cell r="AG2445" t="str">
            <v>ЮНГ</v>
          </cell>
        </row>
        <row r="2446">
          <cell r="AG2446" t="str">
            <v>ЮНГ</v>
          </cell>
        </row>
        <row r="2447">
          <cell r="AG2447" t="str">
            <v>ЮНГ</v>
          </cell>
        </row>
        <row r="2448">
          <cell r="AG2448" t="str">
            <v>ЮНГ</v>
          </cell>
        </row>
        <row r="2449">
          <cell r="AG2449" t="str">
            <v>ЮНГ</v>
          </cell>
        </row>
        <row r="2450">
          <cell r="AG2450" t="str">
            <v>ЮНГ</v>
          </cell>
        </row>
        <row r="2451">
          <cell r="AG2451" t="str">
            <v>ЮНГ</v>
          </cell>
        </row>
        <row r="2452">
          <cell r="AG2452" t="str">
            <v>ЮНГ</v>
          </cell>
        </row>
        <row r="2453">
          <cell r="AG2453" t="str">
            <v>ЮНГ</v>
          </cell>
        </row>
        <row r="2454">
          <cell r="AG2454" t="str">
            <v>ЮНГ</v>
          </cell>
        </row>
        <row r="2455">
          <cell r="AG2455" t="str">
            <v>ЮНГ</v>
          </cell>
        </row>
        <row r="2456">
          <cell r="AG2456" t="str">
            <v>ЮНГ</v>
          </cell>
        </row>
        <row r="2457">
          <cell r="AG2457" t="str">
            <v>ЮНГ</v>
          </cell>
        </row>
        <row r="2458">
          <cell r="AG2458" t="str">
            <v>ЮНГ</v>
          </cell>
        </row>
        <row r="2459">
          <cell r="AG2459" t="str">
            <v>ЮНГ</v>
          </cell>
        </row>
        <row r="2460">
          <cell r="AG2460" t="str">
            <v>ЮНГ</v>
          </cell>
        </row>
        <row r="2461">
          <cell r="AG2461" t="str">
            <v>ЮНГ</v>
          </cell>
        </row>
        <row r="2462">
          <cell r="AG2462" t="str">
            <v>ЮНГ</v>
          </cell>
        </row>
        <row r="2463">
          <cell r="AG2463" t="str">
            <v>ЮНГ</v>
          </cell>
        </row>
        <row r="2464">
          <cell r="AG2464" t="str">
            <v>ЮНГ</v>
          </cell>
        </row>
        <row r="2465">
          <cell r="AG2465" t="str">
            <v>ЮНГ</v>
          </cell>
        </row>
        <row r="2466">
          <cell r="AG2466" t="str">
            <v>ЮНГ</v>
          </cell>
        </row>
        <row r="2467">
          <cell r="AG2467" t="str">
            <v>ЮНГ</v>
          </cell>
        </row>
        <row r="2468">
          <cell r="AG2468" t="str">
            <v>ЮНГ</v>
          </cell>
        </row>
        <row r="2469">
          <cell r="AG2469" t="str">
            <v>ЮНГ</v>
          </cell>
        </row>
        <row r="2470">
          <cell r="AG2470" t="str">
            <v>ЮНГ</v>
          </cell>
        </row>
        <row r="2471">
          <cell r="AG2471" t="str">
            <v>ЮНГ</v>
          </cell>
        </row>
        <row r="2472">
          <cell r="AG2472" t="str">
            <v>ЮНГ</v>
          </cell>
        </row>
        <row r="2473">
          <cell r="AG2473" t="str">
            <v>ЮНГ</v>
          </cell>
        </row>
        <row r="2474">
          <cell r="AG2474" t="str">
            <v>ЮНГ</v>
          </cell>
        </row>
        <row r="2475">
          <cell r="AG2475" t="str">
            <v>ЮНГ</v>
          </cell>
        </row>
        <row r="2476">
          <cell r="AG2476" t="str">
            <v>ЮНГ</v>
          </cell>
        </row>
        <row r="2477">
          <cell r="AG2477" t="str">
            <v>ЮНГ</v>
          </cell>
        </row>
        <row r="2478">
          <cell r="AG2478" t="str">
            <v>ЮНГ</v>
          </cell>
        </row>
        <row r="2479">
          <cell r="AG2479" t="str">
            <v>ЮНГ</v>
          </cell>
        </row>
        <row r="2480">
          <cell r="AG2480" t="str">
            <v>ЮНГ</v>
          </cell>
        </row>
        <row r="2481">
          <cell r="AG2481" t="str">
            <v>ЮНГ</v>
          </cell>
        </row>
        <row r="2482">
          <cell r="AG2482" t="str">
            <v>ЮНГ</v>
          </cell>
        </row>
        <row r="2483">
          <cell r="AG2483" t="str">
            <v>ЮНГ</v>
          </cell>
        </row>
        <row r="2484">
          <cell r="AG2484" t="str">
            <v>ЮНГ</v>
          </cell>
        </row>
        <row r="2485">
          <cell r="AG2485" t="str">
            <v>ЮНГ</v>
          </cell>
        </row>
        <row r="2486">
          <cell r="AG2486" t="str">
            <v>ЮНГ</v>
          </cell>
        </row>
        <row r="2487">
          <cell r="AG2487" t="str">
            <v>ЮНГ</v>
          </cell>
        </row>
        <row r="2488">
          <cell r="AG2488" t="str">
            <v>ЮНГ</v>
          </cell>
        </row>
        <row r="2489">
          <cell r="AG2489" t="str">
            <v>ЮНГ</v>
          </cell>
        </row>
        <row r="2490">
          <cell r="AG2490" t="str">
            <v>ЮНГ</v>
          </cell>
        </row>
        <row r="2491">
          <cell r="AG2491" t="str">
            <v>ЮНГ</v>
          </cell>
        </row>
        <row r="2492">
          <cell r="AG2492" t="str">
            <v>ЮНГ</v>
          </cell>
        </row>
        <row r="2493">
          <cell r="AG2493" t="str">
            <v>ЮНГ</v>
          </cell>
        </row>
        <row r="2494">
          <cell r="AG2494" t="str">
            <v>ЮНГ</v>
          </cell>
        </row>
        <row r="2495">
          <cell r="AG2495" t="str">
            <v>ЮНГ</v>
          </cell>
        </row>
        <row r="2496">
          <cell r="AG2496" t="str">
            <v>ЮНГ</v>
          </cell>
        </row>
        <row r="2497">
          <cell r="AG2497" t="str">
            <v>ЮНГ</v>
          </cell>
        </row>
        <row r="2498">
          <cell r="AG2498" t="str">
            <v>ЮНГ</v>
          </cell>
        </row>
        <row r="2499">
          <cell r="AG2499" t="str">
            <v>ЮНГ</v>
          </cell>
        </row>
        <row r="2500">
          <cell r="AG2500" t="str">
            <v>ЮНГ</v>
          </cell>
        </row>
        <row r="2501">
          <cell r="AG2501" t="str">
            <v>ЮНГ</v>
          </cell>
        </row>
        <row r="2502">
          <cell r="AG2502" t="str">
            <v>ЮНГ</v>
          </cell>
        </row>
        <row r="2503">
          <cell r="AG2503" t="str">
            <v>ЮНГ</v>
          </cell>
        </row>
        <row r="2504">
          <cell r="AG2504" t="str">
            <v>ЮНГ</v>
          </cell>
        </row>
        <row r="2505">
          <cell r="AG2505" t="str">
            <v>ЮНГ</v>
          </cell>
        </row>
        <row r="2506">
          <cell r="AG2506" t="str">
            <v>ЮНГ</v>
          </cell>
        </row>
        <row r="2507">
          <cell r="AG2507" t="str">
            <v>ЮНГ</v>
          </cell>
        </row>
        <row r="2508">
          <cell r="AG2508" t="str">
            <v>ЮНГ</v>
          </cell>
        </row>
        <row r="2509">
          <cell r="AG2509" t="str">
            <v>ЮНГ</v>
          </cell>
        </row>
        <row r="2510">
          <cell r="AG2510" t="str">
            <v>ЮНГ</v>
          </cell>
        </row>
        <row r="2511">
          <cell r="AG2511" t="str">
            <v>ЮНГ</v>
          </cell>
        </row>
        <row r="2512">
          <cell r="AG2512" t="str">
            <v>ЮНГ</v>
          </cell>
        </row>
        <row r="2513">
          <cell r="AG2513" t="str">
            <v>ЮНГ</v>
          </cell>
        </row>
        <row r="2514">
          <cell r="AG2514" t="str">
            <v>ЮНГ</v>
          </cell>
        </row>
        <row r="2515">
          <cell r="AG2515" t="str">
            <v>ЮНГ</v>
          </cell>
        </row>
        <row r="2516">
          <cell r="AG2516" t="str">
            <v>ЮНГ</v>
          </cell>
        </row>
        <row r="2517">
          <cell r="AG2517" t="str">
            <v>ЮНГ</v>
          </cell>
        </row>
        <row r="2518">
          <cell r="AG2518" t="str">
            <v>ЮНГ</v>
          </cell>
        </row>
        <row r="2519">
          <cell r="AG2519" t="str">
            <v>ЮНГ</v>
          </cell>
        </row>
        <row r="2520">
          <cell r="AG2520" t="str">
            <v>ЮНГ</v>
          </cell>
        </row>
        <row r="2521">
          <cell r="AG2521" t="str">
            <v>ЮНГ</v>
          </cell>
        </row>
        <row r="2522">
          <cell r="AG2522" t="str">
            <v>ЮНГ</v>
          </cell>
        </row>
        <row r="2523">
          <cell r="AG2523" t="str">
            <v>ЮНГ</v>
          </cell>
        </row>
        <row r="2524">
          <cell r="AG2524" t="str">
            <v>ЮНГ</v>
          </cell>
        </row>
        <row r="2525">
          <cell r="AG2525" t="str">
            <v>ЮНГ</v>
          </cell>
        </row>
        <row r="2526">
          <cell r="AG2526" t="str">
            <v>ЮНГ</v>
          </cell>
        </row>
        <row r="2527">
          <cell r="AG2527" t="str">
            <v>ЮНГ</v>
          </cell>
        </row>
        <row r="2528">
          <cell r="AG2528" t="str">
            <v>ЮНГ</v>
          </cell>
        </row>
        <row r="2529">
          <cell r="AG2529" t="str">
            <v>ЮНГ</v>
          </cell>
        </row>
        <row r="2530">
          <cell r="AG2530" t="str">
            <v>ЮНГ</v>
          </cell>
        </row>
        <row r="2531">
          <cell r="AG2531" t="str">
            <v>ЮНГ</v>
          </cell>
        </row>
        <row r="2532">
          <cell r="AG2532" t="str">
            <v>ЮНГ</v>
          </cell>
        </row>
        <row r="2533">
          <cell r="AG2533" t="str">
            <v>ЮНГ</v>
          </cell>
        </row>
        <row r="2534">
          <cell r="AG2534" t="str">
            <v>ЮНГ</v>
          </cell>
        </row>
        <row r="2535">
          <cell r="AG2535" t="str">
            <v>ЮНГ</v>
          </cell>
        </row>
        <row r="2536">
          <cell r="AG2536" t="str">
            <v>ЮНГ</v>
          </cell>
        </row>
        <row r="2537">
          <cell r="AG2537" t="str">
            <v>ЮНГ</v>
          </cell>
        </row>
        <row r="2538">
          <cell r="AG2538" t="str">
            <v>ЮНГ</v>
          </cell>
        </row>
        <row r="2539">
          <cell r="AG2539" t="str">
            <v>ЮНГ</v>
          </cell>
        </row>
        <row r="2540">
          <cell r="AG2540" t="str">
            <v>ЮНГ</v>
          </cell>
        </row>
        <row r="2541">
          <cell r="AG2541" t="str">
            <v>ЮНГ</v>
          </cell>
        </row>
        <row r="2542">
          <cell r="AG2542" t="str">
            <v>ЮНГ</v>
          </cell>
        </row>
        <row r="2543">
          <cell r="AG2543" t="str">
            <v>ЮНГ</v>
          </cell>
        </row>
        <row r="2544">
          <cell r="AG2544" t="str">
            <v>ЮНГ</v>
          </cell>
        </row>
        <row r="2545">
          <cell r="AG2545" t="str">
            <v>ЮНГ</v>
          </cell>
        </row>
        <row r="2546">
          <cell r="AG2546" t="str">
            <v>ЮНГ</v>
          </cell>
        </row>
        <row r="2547">
          <cell r="AG2547" t="str">
            <v>ЮНГ</v>
          </cell>
        </row>
        <row r="2548">
          <cell r="AG2548" t="str">
            <v>ЮНГ</v>
          </cell>
        </row>
        <row r="2549">
          <cell r="AG2549" t="str">
            <v>ЮНГ</v>
          </cell>
        </row>
        <row r="2550">
          <cell r="AG2550" t="str">
            <v>ЮНГ</v>
          </cell>
        </row>
        <row r="2551">
          <cell r="AG2551" t="str">
            <v>ЮНГ</v>
          </cell>
        </row>
        <row r="2552">
          <cell r="AG2552" t="str">
            <v>ЮНГ</v>
          </cell>
        </row>
        <row r="2553">
          <cell r="AG2553" t="str">
            <v>ЮНГ</v>
          </cell>
        </row>
        <row r="2554">
          <cell r="AG2554" t="str">
            <v>ЮНГ</v>
          </cell>
        </row>
        <row r="2555">
          <cell r="AG2555" t="str">
            <v>ЮНГ</v>
          </cell>
        </row>
        <row r="2556">
          <cell r="AG2556" t="str">
            <v>ЮНГ</v>
          </cell>
        </row>
        <row r="2557">
          <cell r="AG2557" t="str">
            <v>ЮНГ</v>
          </cell>
        </row>
        <row r="2558">
          <cell r="AG2558" t="str">
            <v>ЮНГ</v>
          </cell>
        </row>
        <row r="2559">
          <cell r="AG2559" t="str">
            <v>ЮНГ</v>
          </cell>
        </row>
        <row r="2560">
          <cell r="AG2560" t="str">
            <v>ЮНГ</v>
          </cell>
        </row>
        <row r="2561">
          <cell r="AG2561" t="str">
            <v>ЮНГ</v>
          </cell>
        </row>
        <row r="2562">
          <cell r="AG2562" t="str">
            <v>ЮНГ</v>
          </cell>
        </row>
        <row r="2563">
          <cell r="AG2563" t="str">
            <v>ЮНГ</v>
          </cell>
        </row>
        <row r="2564">
          <cell r="AG2564" t="str">
            <v>ЮНГ</v>
          </cell>
        </row>
        <row r="2565">
          <cell r="AG2565" t="str">
            <v>ЮНГ</v>
          </cell>
        </row>
        <row r="2566">
          <cell r="AG2566" t="str">
            <v>ЮНГ</v>
          </cell>
        </row>
        <row r="2567">
          <cell r="AG2567" t="str">
            <v>ЮНГ</v>
          </cell>
        </row>
        <row r="2568">
          <cell r="AG2568" t="str">
            <v>ЮНГ</v>
          </cell>
        </row>
        <row r="2569">
          <cell r="AG2569" t="str">
            <v>ЮНГ</v>
          </cell>
        </row>
        <row r="2570">
          <cell r="AG2570" t="str">
            <v>ЮНГ</v>
          </cell>
        </row>
        <row r="2571">
          <cell r="AG2571" t="str">
            <v>ЮНГ</v>
          </cell>
        </row>
        <row r="2572">
          <cell r="AG2572" t="str">
            <v>ЮНГ</v>
          </cell>
        </row>
        <row r="2573">
          <cell r="AG2573" t="str">
            <v>ЮНГ</v>
          </cell>
        </row>
        <row r="2574">
          <cell r="AG2574" t="str">
            <v>ЮНГ</v>
          </cell>
        </row>
        <row r="2575">
          <cell r="AG2575" t="str">
            <v>ЮНГ</v>
          </cell>
        </row>
        <row r="2576">
          <cell r="AG2576" t="str">
            <v>ЮНГ</v>
          </cell>
        </row>
        <row r="2577">
          <cell r="AG2577" t="str">
            <v>ЮНГ</v>
          </cell>
        </row>
        <row r="2578">
          <cell r="AG2578" t="str">
            <v>ЮНГ</v>
          </cell>
        </row>
        <row r="2579">
          <cell r="AG2579" t="str">
            <v>ЮНГ</v>
          </cell>
        </row>
        <row r="2580">
          <cell r="AG2580" t="str">
            <v>ЮНГ</v>
          </cell>
        </row>
        <row r="2581">
          <cell r="AG2581" t="str">
            <v>ЮНГ</v>
          </cell>
        </row>
        <row r="2582">
          <cell r="AG2582" t="str">
            <v>ЮНГ</v>
          </cell>
        </row>
        <row r="2583">
          <cell r="AG2583" t="str">
            <v>ЮНГ</v>
          </cell>
        </row>
        <row r="2584">
          <cell r="AG2584" t="str">
            <v>ЮНГ</v>
          </cell>
        </row>
        <row r="2585">
          <cell r="AG2585" t="str">
            <v>ЮНГ</v>
          </cell>
        </row>
        <row r="2586">
          <cell r="AG2586" t="str">
            <v>ЮНГ</v>
          </cell>
        </row>
        <row r="2587">
          <cell r="AG2587" t="str">
            <v>ЮНГ</v>
          </cell>
        </row>
        <row r="2588">
          <cell r="AG2588" t="str">
            <v>ЮНГ</v>
          </cell>
        </row>
        <row r="2589">
          <cell r="AG2589" t="str">
            <v>ЮНГ</v>
          </cell>
        </row>
        <row r="2590">
          <cell r="AG2590" t="str">
            <v>ЮНГ</v>
          </cell>
        </row>
        <row r="2591">
          <cell r="AG2591" t="str">
            <v>ЮНГ</v>
          </cell>
        </row>
        <row r="2592">
          <cell r="AG2592" t="str">
            <v>ЮНГ</v>
          </cell>
        </row>
        <row r="2593">
          <cell r="AG2593" t="str">
            <v>ЮНГ</v>
          </cell>
        </row>
        <row r="2594">
          <cell r="AG2594" t="str">
            <v>ЮНГ</v>
          </cell>
        </row>
        <row r="2595">
          <cell r="AG2595" t="str">
            <v>ЮНГ</v>
          </cell>
        </row>
        <row r="2596">
          <cell r="AG2596" t="str">
            <v>ЮНГ</v>
          </cell>
        </row>
        <row r="2597">
          <cell r="AG2597" t="str">
            <v>ЮНГ</v>
          </cell>
        </row>
        <row r="2598">
          <cell r="AG2598" t="str">
            <v>ЮНГ</v>
          </cell>
        </row>
        <row r="2599">
          <cell r="AG2599" t="str">
            <v>ЮНГ</v>
          </cell>
        </row>
        <row r="2600">
          <cell r="AG2600" t="str">
            <v>ЮНГ</v>
          </cell>
        </row>
        <row r="2601">
          <cell r="AG2601" t="str">
            <v>ЮНГ</v>
          </cell>
        </row>
        <row r="2602">
          <cell r="AG2602" t="str">
            <v>ЮНГ</v>
          </cell>
        </row>
        <row r="2603">
          <cell r="AG2603" t="str">
            <v>ЮНГ</v>
          </cell>
        </row>
        <row r="2604">
          <cell r="AG2604" t="str">
            <v>ЮНГ</v>
          </cell>
        </row>
        <row r="2605">
          <cell r="AG2605" t="str">
            <v>ЮНГ</v>
          </cell>
        </row>
        <row r="2606">
          <cell r="AG2606" t="str">
            <v>ЮНГ</v>
          </cell>
        </row>
        <row r="2607">
          <cell r="AG2607" t="str">
            <v>ЮНГ</v>
          </cell>
        </row>
        <row r="2608">
          <cell r="AG2608" t="str">
            <v>ЮНГ</v>
          </cell>
        </row>
        <row r="2609">
          <cell r="AG2609" t="str">
            <v>ЮНГ</v>
          </cell>
        </row>
        <row r="2610">
          <cell r="AG2610" t="str">
            <v>ЮНГ</v>
          </cell>
        </row>
        <row r="2611">
          <cell r="AG2611" t="str">
            <v>ЮНГ</v>
          </cell>
        </row>
        <row r="2612">
          <cell r="AG2612" t="str">
            <v>ЮНГ</v>
          </cell>
        </row>
        <row r="2613">
          <cell r="AG2613" t="str">
            <v>ЮНГ</v>
          </cell>
        </row>
        <row r="2614">
          <cell r="AG2614" t="str">
            <v>ЮНГ</v>
          </cell>
        </row>
        <row r="2615">
          <cell r="AG2615" t="str">
            <v>ЮНГ</v>
          </cell>
        </row>
        <row r="2616">
          <cell r="AG2616" t="str">
            <v>ЮНГ</v>
          </cell>
        </row>
        <row r="2617">
          <cell r="AG2617" t="str">
            <v>ЮНГ</v>
          </cell>
        </row>
        <row r="2618">
          <cell r="AG2618" t="str">
            <v>ЮНГ</v>
          </cell>
        </row>
        <row r="2619">
          <cell r="AG2619" t="str">
            <v>ЮНГ</v>
          </cell>
        </row>
        <row r="2620">
          <cell r="AG2620" t="str">
            <v>ЮНГ</v>
          </cell>
        </row>
        <row r="2621">
          <cell r="AG2621" t="str">
            <v>ЮНГ</v>
          </cell>
        </row>
        <row r="2622">
          <cell r="AG2622" t="str">
            <v>ЮНГ</v>
          </cell>
        </row>
        <row r="2623">
          <cell r="AG2623" t="str">
            <v>ЮНГ</v>
          </cell>
        </row>
        <row r="2624">
          <cell r="AG2624" t="str">
            <v>ЮНГ</v>
          </cell>
        </row>
        <row r="2625">
          <cell r="AG2625" t="str">
            <v>ЮНГ</v>
          </cell>
        </row>
        <row r="2626">
          <cell r="AG2626" t="str">
            <v>ЮНГ</v>
          </cell>
        </row>
        <row r="2627">
          <cell r="AG2627" t="str">
            <v>ЮНГ</v>
          </cell>
        </row>
        <row r="2628">
          <cell r="AG2628" t="str">
            <v>ЮНГ</v>
          </cell>
        </row>
        <row r="2629">
          <cell r="AG2629" t="str">
            <v>ЮНГ</v>
          </cell>
        </row>
        <row r="2630">
          <cell r="AG2630" t="str">
            <v>ЮНГ</v>
          </cell>
        </row>
        <row r="2631">
          <cell r="AG2631" t="str">
            <v>ЮНГ</v>
          </cell>
        </row>
        <row r="2632">
          <cell r="AG2632" t="str">
            <v>ЮНГ</v>
          </cell>
        </row>
        <row r="2633">
          <cell r="AG2633" t="str">
            <v>ЮНГ</v>
          </cell>
        </row>
        <row r="2634">
          <cell r="AG2634" t="str">
            <v>ЮНГ</v>
          </cell>
        </row>
        <row r="2635">
          <cell r="AG2635" t="str">
            <v>ЮНГ</v>
          </cell>
        </row>
        <row r="2636">
          <cell r="AG2636" t="str">
            <v>ЮНГ</v>
          </cell>
        </row>
        <row r="2637">
          <cell r="AG2637" t="str">
            <v>ЮНГ</v>
          </cell>
        </row>
        <row r="2638">
          <cell r="AG2638" t="str">
            <v>ЮНГ</v>
          </cell>
        </row>
        <row r="2639">
          <cell r="AG2639" t="str">
            <v>ЮНГ</v>
          </cell>
        </row>
        <row r="2640">
          <cell r="AG2640" t="str">
            <v>ЮНГ</v>
          </cell>
        </row>
        <row r="2641">
          <cell r="AG2641" t="str">
            <v>ЮНГ</v>
          </cell>
        </row>
        <row r="2642">
          <cell r="AG2642" t="str">
            <v>ЮНГ</v>
          </cell>
        </row>
        <row r="2643">
          <cell r="AG2643" t="str">
            <v>ЮНГ</v>
          </cell>
        </row>
        <row r="2644">
          <cell r="AG2644" t="str">
            <v>ЮНГ</v>
          </cell>
        </row>
        <row r="2645">
          <cell r="AG2645" t="str">
            <v>ЮНГ</v>
          </cell>
        </row>
        <row r="2646">
          <cell r="AG2646" t="str">
            <v>ЮНГ</v>
          </cell>
        </row>
        <row r="2647">
          <cell r="AG2647" t="str">
            <v>ЮНГ</v>
          </cell>
        </row>
        <row r="2648">
          <cell r="AG2648" t="str">
            <v>ЮНГ</v>
          </cell>
        </row>
        <row r="2649">
          <cell r="AG2649" t="str">
            <v>ЮНГ</v>
          </cell>
        </row>
        <row r="2650">
          <cell r="AG2650" t="str">
            <v>ЮНГ</v>
          </cell>
        </row>
        <row r="2651">
          <cell r="AG2651" t="str">
            <v>ЮНГ</v>
          </cell>
        </row>
        <row r="2652">
          <cell r="AG2652" t="str">
            <v>ЮНГ</v>
          </cell>
        </row>
        <row r="2653">
          <cell r="AG2653" t="str">
            <v>ЮНГ</v>
          </cell>
        </row>
        <row r="2654">
          <cell r="AG2654" t="str">
            <v>ЮНГ</v>
          </cell>
        </row>
        <row r="2655">
          <cell r="AG2655" t="str">
            <v>ЮНГ</v>
          </cell>
        </row>
        <row r="2656">
          <cell r="AG2656" t="str">
            <v>ЮНГ</v>
          </cell>
        </row>
        <row r="2657">
          <cell r="AG2657" t="str">
            <v>ЮНГ</v>
          </cell>
        </row>
        <row r="2658">
          <cell r="AG2658" t="str">
            <v>ЮНГ</v>
          </cell>
        </row>
        <row r="2659">
          <cell r="AG2659" t="str">
            <v>ЮНГ</v>
          </cell>
        </row>
        <row r="2660">
          <cell r="AG2660" t="str">
            <v>ЮНГ</v>
          </cell>
        </row>
        <row r="2661">
          <cell r="AG2661" t="str">
            <v>ЮНГ</v>
          </cell>
        </row>
        <row r="2662">
          <cell r="AG2662" t="str">
            <v>ЮНГ</v>
          </cell>
        </row>
        <row r="2663">
          <cell r="AG2663" t="str">
            <v>ЮНГ</v>
          </cell>
        </row>
        <row r="2664">
          <cell r="AG2664" t="str">
            <v>ЮНГ</v>
          </cell>
        </row>
        <row r="2665">
          <cell r="AG2665" t="str">
            <v>ЮНГ</v>
          </cell>
        </row>
        <row r="2666">
          <cell r="AG2666" t="str">
            <v>ЮНГ</v>
          </cell>
        </row>
        <row r="2667">
          <cell r="AG2667" t="str">
            <v>ЮНГ</v>
          </cell>
        </row>
        <row r="2668">
          <cell r="AG2668" t="str">
            <v>ЮНГ</v>
          </cell>
        </row>
        <row r="2669">
          <cell r="AG2669" t="str">
            <v>ЮНГ</v>
          </cell>
        </row>
        <row r="2670">
          <cell r="AG2670" t="str">
            <v>ЮНГ</v>
          </cell>
        </row>
        <row r="2671">
          <cell r="AG2671" t="str">
            <v>ЮНГ</v>
          </cell>
        </row>
        <row r="2672">
          <cell r="AG2672" t="str">
            <v>ЮНГ</v>
          </cell>
        </row>
        <row r="2673">
          <cell r="AG2673" t="str">
            <v>ЮНГ</v>
          </cell>
        </row>
        <row r="2674">
          <cell r="AG2674" t="str">
            <v>ЮНГ</v>
          </cell>
        </row>
        <row r="2675">
          <cell r="AG2675" t="str">
            <v>ЮНГ</v>
          </cell>
        </row>
        <row r="2676">
          <cell r="AG2676" t="str">
            <v>ЮНГ</v>
          </cell>
        </row>
        <row r="2677">
          <cell r="AG2677" t="str">
            <v>ЮНГ</v>
          </cell>
        </row>
        <row r="2678">
          <cell r="AG2678" t="str">
            <v>ЮНГ</v>
          </cell>
        </row>
        <row r="2679">
          <cell r="AG2679" t="str">
            <v>ЮНГ</v>
          </cell>
        </row>
        <row r="2680">
          <cell r="AG2680" t="str">
            <v>ЮНГ</v>
          </cell>
        </row>
        <row r="2681">
          <cell r="AG2681" t="str">
            <v>ЮНГ</v>
          </cell>
        </row>
        <row r="2682">
          <cell r="AG2682" t="str">
            <v>ЮНГ</v>
          </cell>
        </row>
        <row r="2683">
          <cell r="AG2683" t="str">
            <v>ЮНГ</v>
          </cell>
        </row>
        <row r="2684">
          <cell r="AG2684" t="str">
            <v>ЮНГ</v>
          </cell>
        </row>
        <row r="2685">
          <cell r="AG2685" t="str">
            <v>ЮНГ</v>
          </cell>
        </row>
        <row r="2686">
          <cell r="AG2686" t="str">
            <v>ЮНГ</v>
          </cell>
        </row>
        <row r="2687">
          <cell r="AG2687" t="str">
            <v>ЮНГ</v>
          </cell>
        </row>
        <row r="2688">
          <cell r="AG2688" t="str">
            <v>ЮНГ</v>
          </cell>
        </row>
        <row r="2689">
          <cell r="AG2689" t="str">
            <v>ЮНГ</v>
          </cell>
        </row>
        <row r="2690">
          <cell r="AG2690" t="str">
            <v>ЮНГ</v>
          </cell>
        </row>
        <row r="2691">
          <cell r="AG2691" t="str">
            <v>ЮНГ</v>
          </cell>
        </row>
        <row r="2692">
          <cell r="AG2692" t="str">
            <v>ЮНГ</v>
          </cell>
        </row>
        <row r="2693">
          <cell r="AG2693" t="str">
            <v>ЮНГ</v>
          </cell>
        </row>
        <row r="2694">
          <cell r="AG2694" t="str">
            <v>ЮНГ</v>
          </cell>
        </row>
        <row r="2695">
          <cell r="AG2695" t="str">
            <v>ЮНГ</v>
          </cell>
        </row>
        <row r="2696">
          <cell r="AG2696" t="str">
            <v>ЮНГ</v>
          </cell>
        </row>
        <row r="2697">
          <cell r="AG2697" t="str">
            <v>ЮНГ</v>
          </cell>
        </row>
        <row r="2698">
          <cell r="AG2698" t="str">
            <v>ЮНГ</v>
          </cell>
        </row>
        <row r="2699">
          <cell r="AG2699" t="str">
            <v>ЮНГ</v>
          </cell>
        </row>
        <row r="2700">
          <cell r="AG2700" t="str">
            <v>ЮНГ</v>
          </cell>
        </row>
        <row r="2701">
          <cell r="AG2701" t="str">
            <v>ЮНГ</v>
          </cell>
        </row>
        <row r="2702">
          <cell r="AG2702" t="str">
            <v>ЮНГ</v>
          </cell>
        </row>
        <row r="2703">
          <cell r="AG2703" t="str">
            <v>ЮНГ</v>
          </cell>
        </row>
        <row r="2704">
          <cell r="AG2704" t="str">
            <v>ЮНГ</v>
          </cell>
        </row>
        <row r="2705">
          <cell r="AG2705" t="str">
            <v>ЮНГ</v>
          </cell>
        </row>
        <row r="2706">
          <cell r="AG2706" t="str">
            <v>ЮНГ</v>
          </cell>
        </row>
        <row r="2707">
          <cell r="AG2707" t="str">
            <v>ЮНГ</v>
          </cell>
        </row>
        <row r="2708">
          <cell r="AG2708" t="str">
            <v>ЮНГ</v>
          </cell>
        </row>
        <row r="2709">
          <cell r="AG2709" t="str">
            <v>ЮНГ</v>
          </cell>
        </row>
        <row r="2710">
          <cell r="AG2710" t="str">
            <v>ЮНГ</v>
          </cell>
        </row>
        <row r="2711">
          <cell r="AG2711" t="str">
            <v>ЮНГ</v>
          </cell>
        </row>
        <row r="2712">
          <cell r="AG2712" t="str">
            <v>ЮНГ</v>
          </cell>
        </row>
        <row r="2713">
          <cell r="AG2713" t="str">
            <v>ЮНГ</v>
          </cell>
        </row>
        <row r="2714">
          <cell r="AG2714" t="str">
            <v>ЮНГ</v>
          </cell>
        </row>
        <row r="2715">
          <cell r="AG2715" t="str">
            <v>ЮНГ</v>
          </cell>
        </row>
        <row r="2716">
          <cell r="AG2716" t="str">
            <v>ЮНГ</v>
          </cell>
        </row>
        <row r="2717">
          <cell r="AG2717" t="str">
            <v>ЮНГ</v>
          </cell>
        </row>
        <row r="2718">
          <cell r="AG2718" t="str">
            <v>ЮНГ</v>
          </cell>
        </row>
        <row r="2719">
          <cell r="AG2719" t="str">
            <v>ЮНГ</v>
          </cell>
        </row>
        <row r="2720">
          <cell r="AG2720" t="str">
            <v>ЮНГ</v>
          </cell>
        </row>
        <row r="2721">
          <cell r="AG2721" t="str">
            <v>ЮНГ</v>
          </cell>
        </row>
        <row r="2722">
          <cell r="AG2722" t="str">
            <v>ЮНГ</v>
          </cell>
        </row>
        <row r="2723">
          <cell r="AG2723" t="str">
            <v>ЮНГ</v>
          </cell>
        </row>
        <row r="2724">
          <cell r="AG2724" t="str">
            <v>ЮНГ</v>
          </cell>
        </row>
        <row r="2725">
          <cell r="AG2725" t="str">
            <v>ЮНГ</v>
          </cell>
        </row>
        <row r="2726">
          <cell r="AG2726" t="str">
            <v>ЮНГ</v>
          </cell>
        </row>
        <row r="2727">
          <cell r="AG2727" t="str">
            <v>ЮНГ</v>
          </cell>
        </row>
        <row r="2728">
          <cell r="AG2728" t="str">
            <v>ЮНГ</v>
          </cell>
        </row>
        <row r="2729">
          <cell r="AG2729" t="str">
            <v>ЮНГ</v>
          </cell>
        </row>
        <row r="2730">
          <cell r="AG2730" t="str">
            <v>ЮНГ</v>
          </cell>
        </row>
        <row r="2731">
          <cell r="AG2731" t="str">
            <v>ЮНГ</v>
          </cell>
        </row>
        <row r="2732">
          <cell r="AG2732" t="str">
            <v>ЮНГ</v>
          </cell>
        </row>
        <row r="2733">
          <cell r="AG2733" t="str">
            <v>ЮНГ</v>
          </cell>
        </row>
        <row r="2734">
          <cell r="AG2734" t="str">
            <v>ЮНГ</v>
          </cell>
        </row>
        <row r="2735">
          <cell r="AG2735" t="str">
            <v>ЮНГ</v>
          </cell>
        </row>
        <row r="2736">
          <cell r="AG2736" t="str">
            <v>ЮНГ</v>
          </cell>
        </row>
        <row r="2737">
          <cell r="AG2737" t="str">
            <v>ЮНГ</v>
          </cell>
        </row>
        <row r="2738">
          <cell r="AG2738" t="str">
            <v>ЮНГ</v>
          </cell>
        </row>
        <row r="2739">
          <cell r="AG2739" t="str">
            <v>ЮНГ</v>
          </cell>
        </row>
        <row r="2740">
          <cell r="AG2740" t="str">
            <v>ЮНГ</v>
          </cell>
        </row>
        <row r="2741">
          <cell r="AG2741" t="str">
            <v>ЮНГ</v>
          </cell>
        </row>
        <row r="2742">
          <cell r="AG2742" t="str">
            <v>ЮНГ</v>
          </cell>
        </row>
        <row r="2743">
          <cell r="AG2743" t="str">
            <v>ЮНГ</v>
          </cell>
        </row>
        <row r="2744">
          <cell r="AG2744" t="str">
            <v>ЮНГ</v>
          </cell>
        </row>
        <row r="2745">
          <cell r="AG2745" t="str">
            <v>ЮНГ</v>
          </cell>
        </row>
        <row r="2746">
          <cell r="AG2746" t="str">
            <v>ЮНГ</v>
          </cell>
        </row>
        <row r="2747">
          <cell r="AG2747" t="str">
            <v>ЮНГ</v>
          </cell>
        </row>
        <row r="2748">
          <cell r="AG2748" t="str">
            <v>ЮНГ</v>
          </cell>
        </row>
        <row r="2749">
          <cell r="AG2749" t="str">
            <v>ЮНГ</v>
          </cell>
        </row>
        <row r="2750">
          <cell r="AG2750" t="str">
            <v>ЮНГ</v>
          </cell>
        </row>
        <row r="2751">
          <cell r="AG2751" t="str">
            <v>ЮНГ</v>
          </cell>
        </row>
        <row r="2752">
          <cell r="AG2752" t="str">
            <v>ЮНГ</v>
          </cell>
        </row>
        <row r="2753">
          <cell r="AG2753" t="str">
            <v>ЮНГ</v>
          </cell>
        </row>
        <row r="2754">
          <cell r="AG2754" t="str">
            <v>ЮНГ</v>
          </cell>
        </row>
        <row r="2755">
          <cell r="AG2755" t="str">
            <v>ЮНГ</v>
          </cell>
        </row>
        <row r="2756">
          <cell r="AG2756" t="str">
            <v>ЮНГ</v>
          </cell>
        </row>
        <row r="2757">
          <cell r="AG2757" t="str">
            <v>ЮНГ</v>
          </cell>
        </row>
        <row r="2758">
          <cell r="AG2758" t="str">
            <v>ЮНГ</v>
          </cell>
        </row>
        <row r="2759">
          <cell r="AG2759" t="str">
            <v>ЮНГ</v>
          </cell>
        </row>
        <row r="2760">
          <cell r="AG2760" t="str">
            <v>ЮНГ</v>
          </cell>
        </row>
        <row r="2761">
          <cell r="AG2761" t="str">
            <v>ЮНГ</v>
          </cell>
        </row>
        <row r="2762">
          <cell r="AG2762" t="str">
            <v>ЮНГ</v>
          </cell>
        </row>
        <row r="2763">
          <cell r="AG2763" t="str">
            <v>ЮНГ</v>
          </cell>
        </row>
        <row r="2764">
          <cell r="AG2764" t="str">
            <v>ЮНГ</v>
          </cell>
        </row>
        <row r="2765">
          <cell r="AG2765" t="str">
            <v>ЮНГ</v>
          </cell>
        </row>
        <row r="2766">
          <cell r="AG2766" t="str">
            <v>ЮНГ</v>
          </cell>
        </row>
        <row r="2767">
          <cell r="AG2767" t="str">
            <v>ЮНГ</v>
          </cell>
        </row>
        <row r="2768">
          <cell r="AG2768" t="str">
            <v>ЮНГ</v>
          </cell>
        </row>
        <row r="2769">
          <cell r="AG2769" t="str">
            <v>ЮНГ</v>
          </cell>
        </row>
        <row r="2770">
          <cell r="AG2770" t="str">
            <v>ЮНГ</v>
          </cell>
        </row>
        <row r="2771">
          <cell r="AG2771" t="str">
            <v>ЮНГ</v>
          </cell>
        </row>
        <row r="2772">
          <cell r="AG2772" t="str">
            <v>ЮНГ</v>
          </cell>
        </row>
        <row r="2773">
          <cell r="AG2773" t="str">
            <v>ЮНГ</v>
          </cell>
        </row>
        <row r="2774">
          <cell r="AG2774" t="str">
            <v>ЮНГ</v>
          </cell>
        </row>
        <row r="2775">
          <cell r="AG2775" t="str">
            <v>ЮНГ</v>
          </cell>
        </row>
        <row r="2776">
          <cell r="AG2776" t="str">
            <v>ЮНГ</v>
          </cell>
        </row>
        <row r="2777">
          <cell r="AG2777" t="str">
            <v>ЮНГ</v>
          </cell>
        </row>
        <row r="2778">
          <cell r="AG2778" t="str">
            <v>ЮНГ</v>
          </cell>
        </row>
        <row r="2779">
          <cell r="AG2779" t="str">
            <v>ЮНГ</v>
          </cell>
        </row>
        <row r="2780">
          <cell r="AG2780" t="str">
            <v>ЮНГ</v>
          </cell>
        </row>
        <row r="2781">
          <cell r="AG2781" t="str">
            <v>ЮНГ</v>
          </cell>
        </row>
        <row r="2782">
          <cell r="AG2782" t="str">
            <v>ЮНГ</v>
          </cell>
        </row>
        <row r="2783">
          <cell r="AG2783" t="str">
            <v>ЮНГ</v>
          </cell>
        </row>
        <row r="2784">
          <cell r="AG2784" t="str">
            <v>ЮНГ</v>
          </cell>
        </row>
        <row r="2785">
          <cell r="AG2785" t="str">
            <v>ЮНГ</v>
          </cell>
        </row>
        <row r="2786">
          <cell r="AG2786" t="str">
            <v>ЮНГ</v>
          </cell>
        </row>
        <row r="2787">
          <cell r="AG2787" t="str">
            <v>ЮНГ</v>
          </cell>
        </row>
        <row r="2788">
          <cell r="AG2788" t="str">
            <v>ЮНГ</v>
          </cell>
        </row>
        <row r="2789">
          <cell r="AG2789" t="str">
            <v>ЮНГ</v>
          </cell>
        </row>
        <row r="2790">
          <cell r="AG2790" t="str">
            <v>ЮНГ</v>
          </cell>
        </row>
        <row r="2791">
          <cell r="AG2791" t="str">
            <v>ЮНГ</v>
          </cell>
        </row>
        <row r="2792">
          <cell r="AG2792" t="str">
            <v>ЮНГ</v>
          </cell>
        </row>
        <row r="2793">
          <cell r="AG2793" t="str">
            <v>ЮНГ</v>
          </cell>
        </row>
        <row r="2794">
          <cell r="AG2794" t="str">
            <v>ЮНГ</v>
          </cell>
        </row>
        <row r="2795">
          <cell r="AG2795" t="str">
            <v>ЮНГ</v>
          </cell>
        </row>
        <row r="2796">
          <cell r="AG2796" t="str">
            <v>ЮНГ</v>
          </cell>
        </row>
        <row r="2797">
          <cell r="AG2797" t="str">
            <v>ЮНГ</v>
          </cell>
        </row>
        <row r="2798">
          <cell r="AG2798" t="str">
            <v>ЮНГ</v>
          </cell>
        </row>
        <row r="2799">
          <cell r="AG2799" t="str">
            <v>ЮНГ</v>
          </cell>
        </row>
        <row r="2800">
          <cell r="AG2800" t="str">
            <v>ЮНГ</v>
          </cell>
        </row>
        <row r="2801">
          <cell r="AG2801" t="str">
            <v>ЮНГ</v>
          </cell>
        </row>
        <row r="2802">
          <cell r="AG2802" t="str">
            <v>ЮНГ</v>
          </cell>
        </row>
        <row r="2803">
          <cell r="AG2803" t="str">
            <v>ЮНГ</v>
          </cell>
        </row>
        <row r="2804">
          <cell r="AG2804" t="str">
            <v>ЮНГ</v>
          </cell>
        </row>
        <row r="2805">
          <cell r="AG2805" t="str">
            <v>ЮНГ</v>
          </cell>
        </row>
        <row r="2806">
          <cell r="AG2806" t="str">
            <v>ЮНГ</v>
          </cell>
        </row>
        <row r="2807">
          <cell r="AG2807" t="str">
            <v>ЮНГ</v>
          </cell>
        </row>
        <row r="2808">
          <cell r="AG2808" t="str">
            <v>ЮНГ</v>
          </cell>
        </row>
        <row r="2809">
          <cell r="AG2809" t="str">
            <v>ЮНГ</v>
          </cell>
        </row>
        <row r="2810">
          <cell r="AG2810" t="str">
            <v>ЮНГ</v>
          </cell>
        </row>
        <row r="2811">
          <cell r="AG2811" t="str">
            <v>ЮНГ</v>
          </cell>
        </row>
        <row r="2812">
          <cell r="AG2812" t="str">
            <v>ЮНГ</v>
          </cell>
        </row>
        <row r="2813">
          <cell r="AG2813" t="str">
            <v>ЮНГ</v>
          </cell>
        </row>
        <row r="2814">
          <cell r="AG2814" t="str">
            <v>ЮНГ</v>
          </cell>
        </row>
        <row r="2815">
          <cell r="AG2815" t="str">
            <v>ЮНГ</v>
          </cell>
        </row>
        <row r="2816">
          <cell r="AG2816" t="str">
            <v>ЮНГ</v>
          </cell>
        </row>
        <row r="2817">
          <cell r="AG2817" t="str">
            <v>ЮНГ</v>
          </cell>
        </row>
        <row r="2818">
          <cell r="AG2818" t="str">
            <v>ЮНГ</v>
          </cell>
        </row>
        <row r="2819">
          <cell r="AG2819" t="str">
            <v>ЮНГ</v>
          </cell>
        </row>
        <row r="2820">
          <cell r="AG2820" t="str">
            <v>ЮНГ</v>
          </cell>
        </row>
        <row r="2821">
          <cell r="AG2821" t="str">
            <v>ЮНГ</v>
          </cell>
        </row>
        <row r="2822">
          <cell r="AG2822" t="str">
            <v>ЮНГ</v>
          </cell>
        </row>
        <row r="2823">
          <cell r="AG2823" t="str">
            <v>ЮНГ</v>
          </cell>
        </row>
        <row r="2824">
          <cell r="AG2824" t="str">
            <v>ЮНГ</v>
          </cell>
        </row>
        <row r="2825">
          <cell r="AG2825" t="str">
            <v>ЮНГ</v>
          </cell>
        </row>
        <row r="2826">
          <cell r="AG2826" t="str">
            <v>ЮНГ</v>
          </cell>
        </row>
        <row r="2827">
          <cell r="AG2827" t="str">
            <v>ЮНГ</v>
          </cell>
        </row>
        <row r="2828">
          <cell r="AG2828" t="str">
            <v>ЮНГ</v>
          </cell>
        </row>
        <row r="2829">
          <cell r="AG2829" t="str">
            <v>ЮНГ</v>
          </cell>
        </row>
        <row r="2830">
          <cell r="AG2830" t="str">
            <v>ЮНГ</v>
          </cell>
        </row>
        <row r="2831">
          <cell r="AG2831" t="str">
            <v>ЮНГ</v>
          </cell>
        </row>
        <row r="2832">
          <cell r="AG2832" t="str">
            <v>ЮНГ</v>
          </cell>
        </row>
        <row r="2833">
          <cell r="AG2833" t="str">
            <v>ЮНГ</v>
          </cell>
        </row>
        <row r="2834">
          <cell r="AG2834" t="str">
            <v>ЮНГ</v>
          </cell>
        </row>
        <row r="2835">
          <cell r="AG2835" t="str">
            <v>ЮНГ</v>
          </cell>
        </row>
        <row r="2836">
          <cell r="AG2836" t="str">
            <v>ЮНГ</v>
          </cell>
        </row>
        <row r="2837">
          <cell r="AG2837" t="str">
            <v>ЮНГ</v>
          </cell>
        </row>
        <row r="2838">
          <cell r="AG2838" t="str">
            <v>ЮНГ</v>
          </cell>
        </row>
        <row r="2839">
          <cell r="AG2839" t="str">
            <v>ЮНГ</v>
          </cell>
        </row>
        <row r="2840">
          <cell r="AG2840" t="str">
            <v>ЮНГ</v>
          </cell>
        </row>
        <row r="2841">
          <cell r="AG2841" t="str">
            <v>ЮНГ</v>
          </cell>
        </row>
        <row r="2842">
          <cell r="AG2842" t="str">
            <v>ЮНГ</v>
          </cell>
        </row>
        <row r="2843">
          <cell r="AG2843" t="str">
            <v>ЮНГ</v>
          </cell>
        </row>
        <row r="2844">
          <cell r="AG2844" t="str">
            <v>ЮНГ</v>
          </cell>
        </row>
        <row r="2845">
          <cell r="AG2845" t="str">
            <v>ЮНГ</v>
          </cell>
        </row>
        <row r="2846">
          <cell r="AG2846" t="str">
            <v>ЮНГ</v>
          </cell>
        </row>
        <row r="2847">
          <cell r="AG2847" t="str">
            <v>ЮНГ</v>
          </cell>
        </row>
        <row r="2848">
          <cell r="AG2848" t="str">
            <v>ЮНГ</v>
          </cell>
        </row>
        <row r="2849">
          <cell r="AG2849" t="str">
            <v>ЮНГ</v>
          </cell>
        </row>
        <row r="2850">
          <cell r="AG2850" t="str">
            <v>ЮНГ</v>
          </cell>
        </row>
        <row r="2851">
          <cell r="AG2851" t="str">
            <v>ЮНГ</v>
          </cell>
        </row>
        <row r="2852">
          <cell r="AG2852" t="str">
            <v>ЮНГ</v>
          </cell>
        </row>
        <row r="2853">
          <cell r="AG2853" t="str">
            <v>ЮНГ</v>
          </cell>
        </row>
        <row r="2854">
          <cell r="AG2854" t="str">
            <v>ЮНГ</v>
          </cell>
        </row>
        <row r="2855">
          <cell r="AG2855" t="str">
            <v>ЮНГ</v>
          </cell>
        </row>
        <row r="2856">
          <cell r="AG2856" t="str">
            <v>ЮНГ</v>
          </cell>
        </row>
        <row r="2857">
          <cell r="AG2857" t="str">
            <v>ЮНГ</v>
          </cell>
        </row>
        <row r="2858">
          <cell r="AG2858" t="str">
            <v>ЮНГ</v>
          </cell>
        </row>
        <row r="2859">
          <cell r="AG2859" t="str">
            <v>ЮНГ</v>
          </cell>
        </row>
        <row r="2860">
          <cell r="AG2860" t="str">
            <v>ЮНГ</v>
          </cell>
        </row>
        <row r="2861">
          <cell r="AG2861" t="str">
            <v>ЮНГ</v>
          </cell>
        </row>
        <row r="2862">
          <cell r="AG2862" t="str">
            <v>ЮНГ</v>
          </cell>
        </row>
        <row r="2863">
          <cell r="AG2863" t="str">
            <v>ЮНГ</v>
          </cell>
        </row>
        <row r="2864">
          <cell r="AG2864" t="str">
            <v>ЮНГ</v>
          </cell>
        </row>
        <row r="2865">
          <cell r="AG2865" t="str">
            <v>ЮНГ</v>
          </cell>
        </row>
        <row r="2866">
          <cell r="AG2866" t="str">
            <v>ЮНГ</v>
          </cell>
        </row>
        <row r="2867">
          <cell r="AG2867" t="str">
            <v>ЮНГ</v>
          </cell>
        </row>
        <row r="2868">
          <cell r="AG2868" t="str">
            <v>ЮНГ</v>
          </cell>
        </row>
        <row r="2869">
          <cell r="AG2869" t="str">
            <v>ЮНГ</v>
          </cell>
        </row>
        <row r="2870">
          <cell r="AG2870" t="str">
            <v>ЮНГ</v>
          </cell>
        </row>
        <row r="2871">
          <cell r="AG2871" t="str">
            <v>ЮНГ</v>
          </cell>
        </row>
        <row r="2872">
          <cell r="AG2872" t="str">
            <v>ЮНГ</v>
          </cell>
        </row>
        <row r="2873">
          <cell r="AG2873" t="str">
            <v>ЮНГ</v>
          </cell>
        </row>
        <row r="2874">
          <cell r="AG2874" t="str">
            <v>ЮНГ</v>
          </cell>
        </row>
        <row r="2875">
          <cell r="AG2875" t="str">
            <v>ЮНГ</v>
          </cell>
        </row>
        <row r="2876">
          <cell r="AG2876" t="str">
            <v>ЮНГ</v>
          </cell>
        </row>
        <row r="2877">
          <cell r="AG2877" t="str">
            <v>ЮНГ</v>
          </cell>
        </row>
        <row r="2878">
          <cell r="AG2878" t="str">
            <v>ЮНГ</v>
          </cell>
        </row>
        <row r="2879">
          <cell r="AG2879" t="str">
            <v>ЮНГ</v>
          </cell>
        </row>
        <row r="2880">
          <cell r="AG2880" t="str">
            <v>ЮНГ</v>
          </cell>
        </row>
        <row r="2881">
          <cell r="AG2881" t="str">
            <v>ЮНГ</v>
          </cell>
        </row>
        <row r="2882">
          <cell r="AG2882" t="str">
            <v>ЮНГ</v>
          </cell>
        </row>
        <row r="2883">
          <cell r="AG2883" t="str">
            <v>ЮНГ</v>
          </cell>
        </row>
        <row r="2884">
          <cell r="AG2884" t="str">
            <v>ЮНГ</v>
          </cell>
        </row>
        <row r="2885">
          <cell r="AG2885" t="str">
            <v>ЮНГ</v>
          </cell>
        </row>
        <row r="2886">
          <cell r="AG2886" t="str">
            <v>ЮНГ</v>
          </cell>
        </row>
        <row r="2887">
          <cell r="AG2887" t="str">
            <v>ЮНГ</v>
          </cell>
        </row>
        <row r="2888">
          <cell r="AG2888" t="str">
            <v>ЮНГ</v>
          </cell>
        </row>
        <row r="2889">
          <cell r="AG2889" t="str">
            <v>ЮНГ</v>
          </cell>
        </row>
        <row r="2890">
          <cell r="AG2890" t="str">
            <v>ЮНГ</v>
          </cell>
        </row>
        <row r="2891">
          <cell r="AG2891" t="str">
            <v>ЮНГ</v>
          </cell>
        </row>
        <row r="2892">
          <cell r="AG2892" t="str">
            <v>ЮНГ</v>
          </cell>
        </row>
        <row r="2893">
          <cell r="AG2893" t="str">
            <v>ЮНГ</v>
          </cell>
        </row>
        <row r="2894">
          <cell r="AG2894" t="str">
            <v>ЮНГ</v>
          </cell>
        </row>
        <row r="2895">
          <cell r="AG2895" t="str">
            <v>ЮНГ</v>
          </cell>
        </row>
        <row r="2896">
          <cell r="AG2896" t="str">
            <v>ЮНГ</v>
          </cell>
        </row>
        <row r="2897">
          <cell r="AG2897" t="str">
            <v>ЮНГ</v>
          </cell>
        </row>
        <row r="2898">
          <cell r="AG2898" t="str">
            <v>ЮНГ</v>
          </cell>
        </row>
        <row r="2899">
          <cell r="AG2899" t="str">
            <v>ЮНГ</v>
          </cell>
        </row>
        <row r="2900">
          <cell r="AG2900" t="str">
            <v>ЮНГ</v>
          </cell>
        </row>
        <row r="2901">
          <cell r="AG2901" t="str">
            <v>ЮНГ</v>
          </cell>
        </row>
        <row r="2902">
          <cell r="AG2902" t="str">
            <v>ЮНГ</v>
          </cell>
        </row>
        <row r="2903">
          <cell r="AG2903" t="str">
            <v>ЮНГ</v>
          </cell>
        </row>
        <row r="2904">
          <cell r="AG2904" t="str">
            <v>ЮНГ</v>
          </cell>
        </row>
        <row r="2905">
          <cell r="AG2905" t="str">
            <v>ЮНГ</v>
          </cell>
        </row>
        <row r="2906">
          <cell r="AG2906" t="str">
            <v>ЮНГ</v>
          </cell>
        </row>
        <row r="2907">
          <cell r="AG2907" t="str">
            <v>ЮНГ</v>
          </cell>
        </row>
        <row r="2908">
          <cell r="AG2908" t="str">
            <v>ЮНГ</v>
          </cell>
        </row>
        <row r="2909">
          <cell r="AG2909" t="str">
            <v>ЮНГ</v>
          </cell>
        </row>
        <row r="2910">
          <cell r="AG2910" t="str">
            <v>ЮНГ</v>
          </cell>
        </row>
        <row r="2911">
          <cell r="AG2911" t="str">
            <v>ЮНГ</v>
          </cell>
        </row>
        <row r="2912">
          <cell r="AG2912" t="str">
            <v>ЮНГ</v>
          </cell>
        </row>
        <row r="2913">
          <cell r="AG2913" t="str">
            <v>ЮНГ</v>
          </cell>
        </row>
        <row r="2914">
          <cell r="AG2914" t="str">
            <v>ЮНГ</v>
          </cell>
        </row>
        <row r="2915">
          <cell r="AG2915" t="str">
            <v>ЮНГ</v>
          </cell>
        </row>
        <row r="2916">
          <cell r="AG2916" t="str">
            <v>ЮНГ</v>
          </cell>
        </row>
        <row r="2917">
          <cell r="AG2917" t="str">
            <v>ЮНГ</v>
          </cell>
        </row>
        <row r="2918">
          <cell r="AG2918" t="str">
            <v>ЮНГ</v>
          </cell>
        </row>
        <row r="2919">
          <cell r="AG2919" t="str">
            <v>ЮНГ</v>
          </cell>
        </row>
        <row r="2920">
          <cell r="AG2920" t="str">
            <v>ЮНГ</v>
          </cell>
        </row>
        <row r="2921">
          <cell r="AG2921" t="str">
            <v>ЮНГ</v>
          </cell>
        </row>
        <row r="2922">
          <cell r="AG2922" t="str">
            <v>ЮНГ</v>
          </cell>
        </row>
        <row r="2923">
          <cell r="AG2923" t="str">
            <v>ЮНГ</v>
          </cell>
        </row>
        <row r="2924">
          <cell r="AG2924" t="str">
            <v>ЮНГ</v>
          </cell>
        </row>
        <row r="2925">
          <cell r="AG2925" t="str">
            <v>ЮНГ</v>
          </cell>
        </row>
        <row r="2926">
          <cell r="AG2926" t="str">
            <v>ЮНГ</v>
          </cell>
        </row>
        <row r="2927">
          <cell r="AG2927" t="str">
            <v>ЮНГ</v>
          </cell>
        </row>
        <row r="2928">
          <cell r="AG2928" t="str">
            <v>ЮНГ</v>
          </cell>
        </row>
        <row r="2929">
          <cell r="AG2929" t="str">
            <v>ЮНГ</v>
          </cell>
        </row>
        <row r="2930">
          <cell r="AG2930" t="str">
            <v>ЮНГ</v>
          </cell>
        </row>
        <row r="2931">
          <cell r="AG2931" t="str">
            <v>ЮНГ</v>
          </cell>
        </row>
        <row r="2932">
          <cell r="AG2932" t="str">
            <v>ЮНГ</v>
          </cell>
        </row>
        <row r="2933">
          <cell r="AG2933" t="str">
            <v>ЮНГ</v>
          </cell>
        </row>
        <row r="2934">
          <cell r="AG2934" t="str">
            <v>ЮНГ</v>
          </cell>
        </row>
        <row r="2935">
          <cell r="AG2935" t="str">
            <v>ЮНГ</v>
          </cell>
        </row>
        <row r="2936">
          <cell r="AG2936" t="str">
            <v>ЮНГ</v>
          </cell>
        </row>
        <row r="2937">
          <cell r="AG2937" t="str">
            <v>ЮНГ</v>
          </cell>
        </row>
        <row r="2938">
          <cell r="AG2938" t="str">
            <v>ЮНГ</v>
          </cell>
        </row>
        <row r="2939">
          <cell r="AG2939" t="str">
            <v>ЮНГ</v>
          </cell>
        </row>
        <row r="2940">
          <cell r="AG2940" t="str">
            <v>ЮНГ</v>
          </cell>
        </row>
        <row r="2941">
          <cell r="AG2941" t="str">
            <v>ЮНГ</v>
          </cell>
        </row>
        <row r="2942">
          <cell r="AG2942" t="str">
            <v>ЮНГ</v>
          </cell>
        </row>
        <row r="2943">
          <cell r="AG2943" t="str">
            <v>ЮНГ</v>
          </cell>
        </row>
        <row r="2944">
          <cell r="AG2944" t="str">
            <v>ЮНГ</v>
          </cell>
        </row>
        <row r="2945">
          <cell r="AG2945" t="str">
            <v>ЮНГ</v>
          </cell>
        </row>
        <row r="2946">
          <cell r="AG2946" t="str">
            <v>ЮНГ</v>
          </cell>
        </row>
        <row r="2947">
          <cell r="AG2947" t="str">
            <v>ЮНГ</v>
          </cell>
        </row>
        <row r="2948">
          <cell r="AG2948" t="str">
            <v>ЮНГ</v>
          </cell>
        </row>
        <row r="2949">
          <cell r="AG2949" t="str">
            <v>ЮНГ</v>
          </cell>
        </row>
        <row r="2950">
          <cell r="AG2950" t="str">
            <v>ЮНГ</v>
          </cell>
        </row>
        <row r="2951">
          <cell r="AG2951" t="str">
            <v>ЮНГ</v>
          </cell>
        </row>
        <row r="2952">
          <cell r="AG2952" t="str">
            <v>ЮНГ</v>
          </cell>
        </row>
        <row r="2953">
          <cell r="AG2953" t="str">
            <v>ЮНГ</v>
          </cell>
        </row>
        <row r="2954">
          <cell r="AG2954" t="str">
            <v>ЮНГ</v>
          </cell>
        </row>
        <row r="2955">
          <cell r="AG2955" t="str">
            <v>ЮНГ</v>
          </cell>
        </row>
        <row r="2956">
          <cell r="AG2956" t="str">
            <v>ЮНГ</v>
          </cell>
        </row>
        <row r="2957">
          <cell r="AG2957" t="str">
            <v>ЮНГ</v>
          </cell>
        </row>
        <row r="2958">
          <cell r="AG2958" t="str">
            <v>ЮНГ</v>
          </cell>
        </row>
        <row r="2959">
          <cell r="AG2959" t="str">
            <v>ЮНГ</v>
          </cell>
        </row>
        <row r="2960">
          <cell r="AG2960" t="str">
            <v>ЮНГ</v>
          </cell>
        </row>
        <row r="2961">
          <cell r="AG2961" t="str">
            <v>ЮНГ</v>
          </cell>
        </row>
        <row r="2962">
          <cell r="AG2962" t="str">
            <v>ЮНГ</v>
          </cell>
        </row>
        <row r="2963">
          <cell r="AG2963" t="str">
            <v>ЮНГ</v>
          </cell>
        </row>
        <row r="2964">
          <cell r="AG2964" t="str">
            <v>ЮНГ</v>
          </cell>
        </row>
        <row r="2965">
          <cell r="AG2965" t="str">
            <v>ЮНГ</v>
          </cell>
        </row>
        <row r="2966">
          <cell r="AG2966" t="str">
            <v>ЮНГ</v>
          </cell>
        </row>
        <row r="2967">
          <cell r="AG2967" t="str">
            <v>ЮНГ</v>
          </cell>
        </row>
        <row r="2968">
          <cell r="AG2968" t="str">
            <v>ЮНГ</v>
          </cell>
        </row>
        <row r="2969">
          <cell r="AG2969" t="str">
            <v>ЮНГ</v>
          </cell>
        </row>
        <row r="2970">
          <cell r="AG2970" t="str">
            <v>ЮНГ</v>
          </cell>
        </row>
        <row r="2971">
          <cell r="AG2971" t="str">
            <v>ЮНГ</v>
          </cell>
        </row>
        <row r="2972">
          <cell r="AG2972" t="str">
            <v>ЮНГ</v>
          </cell>
        </row>
        <row r="2973">
          <cell r="AG2973" t="str">
            <v>ЮНГ</v>
          </cell>
        </row>
        <row r="2974">
          <cell r="AG2974" t="str">
            <v>ЮНГ</v>
          </cell>
        </row>
        <row r="2975">
          <cell r="AG2975" t="str">
            <v>ЮНГ</v>
          </cell>
        </row>
        <row r="2976">
          <cell r="AG2976" t="str">
            <v>ЮНГ</v>
          </cell>
        </row>
        <row r="2977">
          <cell r="AG2977" t="str">
            <v>ЮНГ</v>
          </cell>
        </row>
        <row r="2978">
          <cell r="AG2978" t="str">
            <v>ЮНГ</v>
          </cell>
        </row>
        <row r="2979">
          <cell r="AG2979" t="str">
            <v>ЮНГ</v>
          </cell>
        </row>
        <row r="2980">
          <cell r="AG2980" t="str">
            <v>ЮНГ</v>
          </cell>
        </row>
        <row r="2981">
          <cell r="AG2981" t="str">
            <v>ЮНГ</v>
          </cell>
        </row>
        <row r="2982">
          <cell r="AG2982" t="str">
            <v>ЮНГ</v>
          </cell>
        </row>
        <row r="2983">
          <cell r="AG2983" t="str">
            <v>ЮНГ</v>
          </cell>
        </row>
        <row r="2984">
          <cell r="AG2984" t="str">
            <v>ЮНГ</v>
          </cell>
        </row>
        <row r="2985">
          <cell r="AG2985" t="str">
            <v>ЮНГ</v>
          </cell>
        </row>
        <row r="2986">
          <cell r="AG2986" t="str">
            <v>ЮНГ</v>
          </cell>
        </row>
        <row r="2987">
          <cell r="AG2987" t="str">
            <v>ЮНГ</v>
          </cell>
        </row>
        <row r="2988">
          <cell r="AG2988" t="str">
            <v>ЮНГ</v>
          </cell>
        </row>
        <row r="2989">
          <cell r="AG2989" t="str">
            <v>ЮНГ</v>
          </cell>
        </row>
        <row r="2990">
          <cell r="AG2990" t="str">
            <v>ЮНГ</v>
          </cell>
        </row>
        <row r="2991">
          <cell r="AG2991" t="str">
            <v>ЮНГ</v>
          </cell>
        </row>
        <row r="2992">
          <cell r="AG2992" t="str">
            <v>ЮНГ</v>
          </cell>
        </row>
        <row r="2993">
          <cell r="AG2993" t="str">
            <v>ЮНГ</v>
          </cell>
        </row>
        <row r="2994">
          <cell r="AG2994" t="str">
            <v>ЮНГ</v>
          </cell>
        </row>
        <row r="2995">
          <cell r="AG2995" t="str">
            <v>ЮНГ</v>
          </cell>
        </row>
        <row r="2996">
          <cell r="AG2996" t="str">
            <v>ЮНГ</v>
          </cell>
        </row>
        <row r="2997">
          <cell r="AG2997" t="str">
            <v>ЮНГ</v>
          </cell>
        </row>
        <row r="2998">
          <cell r="AG2998" t="str">
            <v>ЮНГ</v>
          </cell>
        </row>
        <row r="2999">
          <cell r="AG2999" t="str">
            <v>ЮНГ</v>
          </cell>
        </row>
        <row r="3000">
          <cell r="AG3000" t="str">
            <v>ЮНГ</v>
          </cell>
        </row>
        <row r="3001">
          <cell r="AG3001" t="str">
            <v>ЮНГ</v>
          </cell>
        </row>
        <row r="3002">
          <cell r="AG3002" t="str">
            <v>ЮНГ</v>
          </cell>
        </row>
        <row r="3003">
          <cell r="AG3003" t="str">
            <v>ЮНГ</v>
          </cell>
        </row>
        <row r="3004">
          <cell r="AG3004" t="str">
            <v>ЮНГ</v>
          </cell>
        </row>
        <row r="3005">
          <cell r="AG3005" t="str">
            <v>ЮНГ</v>
          </cell>
        </row>
        <row r="3006">
          <cell r="AG3006" t="str">
            <v>ЮНГ</v>
          </cell>
        </row>
        <row r="3007">
          <cell r="AG3007" t="str">
            <v>ЮНГ</v>
          </cell>
        </row>
        <row r="3008">
          <cell r="AG3008" t="str">
            <v>ЮНГ</v>
          </cell>
        </row>
        <row r="3009">
          <cell r="AG3009" t="str">
            <v>ЮНГ</v>
          </cell>
        </row>
        <row r="3010">
          <cell r="AG3010" t="str">
            <v>ЮНГ</v>
          </cell>
        </row>
        <row r="3011">
          <cell r="AG3011" t="str">
            <v>ЮНГ</v>
          </cell>
        </row>
        <row r="3012">
          <cell r="AG3012" t="str">
            <v>ЮНГ</v>
          </cell>
        </row>
        <row r="3013">
          <cell r="AG3013" t="str">
            <v>ЮНГ</v>
          </cell>
        </row>
        <row r="3014">
          <cell r="AG3014" t="str">
            <v>ЮНГ</v>
          </cell>
        </row>
        <row r="3015">
          <cell r="AG3015" t="str">
            <v>ЮНГ</v>
          </cell>
        </row>
        <row r="3016">
          <cell r="AG3016" t="str">
            <v>ЮНГ</v>
          </cell>
        </row>
        <row r="3017">
          <cell r="AG3017" t="str">
            <v>ЮНГ</v>
          </cell>
        </row>
        <row r="3018">
          <cell r="AG3018" t="str">
            <v>ЮНГ</v>
          </cell>
        </row>
        <row r="3019">
          <cell r="AG3019" t="str">
            <v>ЮНГ</v>
          </cell>
        </row>
        <row r="3020">
          <cell r="AG3020" t="str">
            <v>ЮНГ</v>
          </cell>
        </row>
        <row r="3021">
          <cell r="AG3021" t="str">
            <v>ЮНГ</v>
          </cell>
        </row>
        <row r="3022">
          <cell r="AG3022" t="str">
            <v>ЮНГ</v>
          </cell>
        </row>
        <row r="3023">
          <cell r="AG3023" t="str">
            <v>ЮНГ</v>
          </cell>
        </row>
        <row r="3024">
          <cell r="AG3024" t="str">
            <v>ЮНГ</v>
          </cell>
        </row>
        <row r="3025">
          <cell r="AG3025" t="str">
            <v>ЮНГ</v>
          </cell>
        </row>
        <row r="3026">
          <cell r="AG3026" t="str">
            <v>ЮНГ</v>
          </cell>
        </row>
        <row r="3027">
          <cell r="AG3027" t="str">
            <v>ЮНГ</v>
          </cell>
        </row>
        <row r="3028">
          <cell r="AG3028" t="str">
            <v>ЮНГ</v>
          </cell>
        </row>
        <row r="3029">
          <cell r="AG3029" t="str">
            <v>ЮНГ</v>
          </cell>
        </row>
        <row r="3030">
          <cell r="AG3030" t="str">
            <v>ЮНГ</v>
          </cell>
        </row>
        <row r="3031">
          <cell r="AG3031" t="str">
            <v>ЮНГ</v>
          </cell>
        </row>
        <row r="3032">
          <cell r="AG3032" t="str">
            <v>ЮНГ</v>
          </cell>
        </row>
        <row r="3033">
          <cell r="AG3033" t="str">
            <v>ЮНГ</v>
          </cell>
        </row>
        <row r="3034">
          <cell r="AG3034" t="str">
            <v>ЮНГ</v>
          </cell>
        </row>
        <row r="3035">
          <cell r="AG3035" t="str">
            <v>ЮНГ</v>
          </cell>
        </row>
        <row r="3036">
          <cell r="AG3036" t="str">
            <v>ЮНГ</v>
          </cell>
        </row>
        <row r="3037">
          <cell r="AG3037" t="str">
            <v>ЮНГ</v>
          </cell>
        </row>
        <row r="3038">
          <cell r="AG3038" t="str">
            <v>ЮНГ</v>
          </cell>
        </row>
        <row r="3039">
          <cell r="AG3039" t="str">
            <v>ЮНГ</v>
          </cell>
        </row>
        <row r="3040">
          <cell r="AG3040" t="str">
            <v>ЮНГ</v>
          </cell>
        </row>
        <row r="3041">
          <cell r="AG3041" t="str">
            <v>ЮНГ</v>
          </cell>
        </row>
        <row r="3042">
          <cell r="AG3042" t="str">
            <v>ЮНГ</v>
          </cell>
        </row>
        <row r="3043">
          <cell r="AG3043" t="str">
            <v>ЮНГ</v>
          </cell>
        </row>
        <row r="3044">
          <cell r="AG3044" t="str">
            <v>ЮНГ</v>
          </cell>
        </row>
        <row r="3045">
          <cell r="AG3045" t="str">
            <v>ЮНГ</v>
          </cell>
        </row>
        <row r="3046">
          <cell r="AG3046" t="str">
            <v>ЮНГ</v>
          </cell>
        </row>
        <row r="3047">
          <cell r="AG3047" t="str">
            <v>ЮНГ</v>
          </cell>
        </row>
        <row r="3048">
          <cell r="AG3048" t="str">
            <v>ЮНГ</v>
          </cell>
        </row>
        <row r="3049">
          <cell r="AG3049" t="str">
            <v>ЮНГ</v>
          </cell>
        </row>
        <row r="3050">
          <cell r="AG3050" t="str">
            <v>ЮНГ</v>
          </cell>
        </row>
        <row r="3051">
          <cell r="AG3051" t="str">
            <v>ЮНГ</v>
          </cell>
        </row>
        <row r="3052">
          <cell r="AG3052" t="str">
            <v>ЮНГ</v>
          </cell>
        </row>
        <row r="3053">
          <cell r="AG3053" t="str">
            <v>ЮНГ</v>
          </cell>
        </row>
        <row r="3054">
          <cell r="AG3054" t="str">
            <v>ЮНГ</v>
          </cell>
        </row>
        <row r="3055">
          <cell r="AG3055" t="str">
            <v>ЮНГ</v>
          </cell>
        </row>
        <row r="3056">
          <cell r="AG3056" t="str">
            <v>ЮНГ</v>
          </cell>
        </row>
        <row r="3057">
          <cell r="AG3057" t="str">
            <v>ЮНГ</v>
          </cell>
        </row>
        <row r="3058">
          <cell r="AG3058" t="str">
            <v>ЮНГ</v>
          </cell>
        </row>
        <row r="3059">
          <cell r="AG3059" t="str">
            <v>ЮНГ</v>
          </cell>
        </row>
        <row r="3060">
          <cell r="AG3060" t="str">
            <v>ЮНГ</v>
          </cell>
        </row>
        <row r="3061">
          <cell r="AG3061" t="str">
            <v>ЮНГ</v>
          </cell>
        </row>
        <row r="3062">
          <cell r="AG3062" t="str">
            <v>ЮНГ</v>
          </cell>
        </row>
        <row r="3063">
          <cell r="AG3063" t="str">
            <v>ЮНГ</v>
          </cell>
        </row>
        <row r="3064">
          <cell r="AG3064" t="str">
            <v>ЮНГ</v>
          </cell>
        </row>
        <row r="3065">
          <cell r="AG3065" t="str">
            <v>ЮНГ</v>
          </cell>
        </row>
        <row r="3066">
          <cell r="AG3066" t="str">
            <v>ЮНГ</v>
          </cell>
        </row>
        <row r="3067">
          <cell r="AG3067" t="str">
            <v>ЮНГ</v>
          </cell>
        </row>
        <row r="3068">
          <cell r="AG3068" t="str">
            <v>ЮНГ</v>
          </cell>
        </row>
        <row r="3069">
          <cell r="AG3069" t="str">
            <v>ЮНГ</v>
          </cell>
        </row>
        <row r="3070">
          <cell r="AG3070" t="str">
            <v>ЮНГ</v>
          </cell>
        </row>
        <row r="3071">
          <cell r="AG3071" t="str">
            <v>ЮНГ</v>
          </cell>
        </row>
        <row r="3072">
          <cell r="AG3072" t="str">
            <v>ЮНГ</v>
          </cell>
        </row>
        <row r="3073">
          <cell r="AG3073" t="str">
            <v>ЮНГ</v>
          </cell>
        </row>
        <row r="3074">
          <cell r="AG3074" t="str">
            <v>ЮНГ</v>
          </cell>
        </row>
        <row r="3075">
          <cell r="AG3075" t="str">
            <v>ЮНГ</v>
          </cell>
        </row>
        <row r="3076">
          <cell r="AG3076" t="str">
            <v>ЮНГ</v>
          </cell>
        </row>
        <row r="3077">
          <cell r="AG3077" t="str">
            <v>ЮНГ</v>
          </cell>
        </row>
        <row r="3078">
          <cell r="AG3078" t="str">
            <v>ЮНГ</v>
          </cell>
        </row>
        <row r="3079">
          <cell r="AG3079" t="str">
            <v>ЮНГ</v>
          </cell>
        </row>
        <row r="3080">
          <cell r="AG3080" t="str">
            <v>ЮНГ</v>
          </cell>
        </row>
        <row r="3081">
          <cell r="AG3081" t="str">
            <v>ЮНГ</v>
          </cell>
        </row>
        <row r="3082">
          <cell r="AG3082" t="str">
            <v>ЮНГ</v>
          </cell>
        </row>
        <row r="3083">
          <cell r="AG3083" t="str">
            <v>ЮНГ</v>
          </cell>
        </row>
        <row r="3084">
          <cell r="AG3084" t="str">
            <v>ЮНГ</v>
          </cell>
        </row>
        <row r="3085">
          <cell r="AG3085" t="str">
            <v>ЮНГ</v>
          </cell>
        </row>
        <row r="3086">
          <cell r="AG3086" t="str">
            <v>ЮНГ</v>
          </cell>
        </row>
        <row r="3087">
          <cell r="AG3087" t="str">
            <v>ЮНГ</v>
          </cell>
        </row>
        <row r="3088">
          <cell r="AG3088" t="str">
            <v>ЮНГ</v>
          </cell>
        </row>
        <row r="3089">
          <cell r="AG3089" t="str">
            <v>ЮНГ</v>
          </cell>
        </row>
        <row r="3090">
          <cell r="AG3090" t="str">
            <v>ЮНГ</v>
          </cell>
        </row>
        <row r="3091">
          <cell r="AG3091" t="str">
            <v>ЮНГ</v>
          </cell>
        </row>
        <row r="3092">
          <cell r="AG3092" t="str">
            <v>ЮНГ</v>
          </cell>
        </row>
        <row r="3093">
          <cell r="AG3093" t="str">
            <v>ЮНГ</v>
          </cell>
        </row>
        <row r="3094">
          <cell r="AG3094" t="str">
            <v>ЮНГ</v>
          </cell>
        </row>
        <row r="3095">
          <cell r="AG3095" t="str">
            <v>ЮНГ</v>
          </cell>
        </row>
        <row r="3096">
          <cell r="AG3096" t="str">
            <v>ЮНГ</v>
          </cell>
        </row>
        <row r="3097">
          <cell r="AG3097" t="str">
            <v>ЮНГ</v>
          </cell>
        </row>
        <row r="3098">
          <cell r="AG3098" t="str">
            <v>ЮНГ</v>
          </cell>
        </row>
        <row r="3099">
          <cell r="AG3099" t="str">
            <v>ЮНГ</v>
          </cell>
        </row>
        <row r="3100">
          <cell r="AG3100" t="str">
            <v>ЮНГ</v>
          </cell>
        </row>
        <row r="3101">
          <cell r="AG3101" t="str">
            <v>ЮНГ</v>
          </cell>
        </row>
        <row r="3102">
          <cell r="AG3102" t="str">
            <v>ЮНГ</v>
          </cell>
        </row>
        <row r="3103">
          <cell r="AG3103" t="str">
            <v>ЮНГ</v>
          </cell>
        </row>
        <row r="3104">
          <cell r="AG3104" t="str">
            <v>ЮНГ</v>
          </cell>
        </row>
        <row r="3105">
          <cell r="AG3105" t="str">
            <v>ЮНГ</v>
          </cell>
        </row>
        <row r="3106">
          <cell r="AG3106" t="str">
            <v>ЮНГ</v>
          </cell>
        </row>
        <row r="3107">
          <cell r="AG3107" t="str">
            <v>ЮНГ</v>
          </cell>
        </row>
        <row r="3108">
          <cell r="AG3108" t="str">
            <v>ЮНГ</v>
          </cell>
        </row>
        <row r="3109">
          <cell r="AG3109" t="str">
            <v>ЮНГ</v>
          </cell>
        </row>
        <row r="3110">
          <cell r="AG3110" t="str">
            <v>ЮНГ</v>
          </cell>
        </row>
        <row r="3111">
          <cell r="AG3111" t="str">
            <v>ЮНГ</v>
          </cell>
        </row>
        <row r="3112">
          <cell r="AG3112" t="str">
            <v>ЮНГ</v>
          </cell>
        </row>
        <row r="3113">
          <cell r="AG3113" t="str">
            <v>ЮНГ</v>
          </cell>
        </row>
        <row r="3114">
          <cell r="AG3114" t="str">
            <v>ЮНГ</v>
          </cell>
        </row>
        <row r="3115">
          <cell r="AG3115" t="str">
            <v>ЮНГ</v>
          </cell>
        </row>
        <row r="3116">
          <cell r="AG3116" t="str">
            <v>ЮНГ</v>
          </cell>
        </row>
        <row r="3117">
          <cell r="AG3117" t="str">
            <v>ЮНГ</v>
          </cell>
        </row>
        <row r="3118">
          <cell r="AG3118" t="str">
            <v>ЮНГ</v>
          </cell>
        </row>
        <row r="3119">
          <cell r="AG3119" t="str">
            <v>ЮНГ</v>
          </cell>
        </row>
        <row r="3120">
          <cell r="AG3120" t="str">
            <v>ЮНГ</v>
          </cell>
        </row>
        <row r="3121">
          <cell r="AG3121" t="str">
            <v>ЮНГ</v>
          </cell>
        </row>
        <row r="3122">
          <cell r="AG3122" t="str">
            <v>ЮНГ</v>
          </cell>
        </row>
        <row r="3123">
          <cell r="AG3123" t="str">
            <v>ЮНГ</v>
          </cell>
        </row>
        <row r="3124">
          <cell r="AG3124" t="str">
            <v>ЮНГ</v>
          </cell>
        </row>
        <row r="3125">
          <cell r="AG3125" t="str">
            <v>ЮНГ</v>
          </cell>
        </row>
        <row r="3126">
          <cell r="AG3126" t="str">
            <v>ЮНГ</v>
          </cell>
        </row>
        <row r="3127">
          <cell r="AG3127" t="str">
            <v>ЮНГ</v>
          </cell>
        </row>
        <row r="3128">
          <cell r="AG3128" t="str">
            <v>ЮНГ</v>
          </cell>
        </row>
        <row r="3129">
          <cell r="AG3129" t="str">
            <v>ЮНГ</v>
          </cell>
        </row>
        <row r="3130">
          <cell r="AG3130" t="str">
            <v>ЮНГ</v>
          </cell>
        </row>
        <row r="3131">
          <cell r="AG3131" t="str">
            <v>ЮНГ</v>
          </cell>
        </row>
        <row r="3132">
          <cell r="AG3132" t="str">
            <v>ЮНГ</v>
          </cell>
        </row>
        <row r="3133">
          <cell r="AG3133" t="str">
            <v>ЮНГ</v>
          </cell>
        </row>
        <row r="3134">
          <cell r="AG3134" t="str">
            <v>ЮНГ</v>
          </cell>
        </row>
        <row r="3135">
          <cell r="AG3135" t="str">
            <v>ЮНГ</v>
          </cell>
        </row>
        <row r="3136">
          <cell r="AG3136" t="str">
            <v>ЮНГ</v>
          </cell>
        </row>
        <row r="3137">
          <cell r="AG3137" t="str">
            <v>ЮНГ</v>
          </cell>
        </row>
        <row r="3138">
          <cell r="AG3138" t="str">
            <v>ЮНГ</v>
          </cell>
        </row>
        <row r="3139">
          <cell r="AG3139" t="str">
            <v>ЮНГ</v>
          </cell>
        </row>
        <row r="3140">
          <cell r="AG3140" t="str">
            <v>ЮНГ</v>
          </cell>
        </row>
        <row r="3141">
          <cell r="AG3141" t="str">
            <v>ЮНГ</v>
          </cell>
        </row>
        <row r="3142">
          <cell r="AG3142" t="str">
            <v>ЮНГ</v>
          </cell>
        </row>
        <row r="3143">
          <cell r="AG3143" t="str">
            <v>ЮНГ</v>
          </cell>
        </row>
        <row r="3144">
          <cell r="AG3144" t="str">
            <v>ЮНГ</v>
          </cell>
        </row>
        <row r="3145">
          <cell r="AG3145" t="str">
            <v>ЮНГ</v>
          </cell>
        </row>
        <row r="3146">
          <cell r="AG3146" t="str">
            <v>ЮНГ</v>
          </cell>
        </row>
        <row r="3147">
          <cell r="AG3147" t="str">
            <v>ЮНГ</v>
          </cell>
        </row>
        <row r="3148">
          <cell r="AG3148" t="str">
            <v>ЮНГ</v>
          </cell>
        </row>
        <row r="3149">
          <cell r="AG3149" t="str">
            <v>ЮНГ</v>
          </cell>
        </row>
        <row r="3150">
          <cell r="AG3150" t="str">
            <v>ЮНГ</v>
          </cell>
        </row>
        <row r="3151">
          <cell r="AG3151" t="str">
            <v>ЮНГ</v>
          </cell>
        </row>
        <row r="3152">
          <cell r="AG3152" t="str">
            <v>ЮНГ</v>
          </cell>
        </row>
        <row r="3153">
          <cell r="AG3153" t="str">
            <v>ЮНГ</v>
          </cell>
        </row>
        <row r="3154">
          <cell r="AG3154" t="str">
            <v>ЮНГ</v>
          </cell>
        </row>
        <row r="3155">
          <cell r="AG3155" t="str">
            <v>ЮНГ</v>
          </cell>
        </row>
        <row r="3156">
          <cell r="AG3156" t="str">
            <v>ЮНГ</v>
          </cell>
        </row>
        <row r="3157">
          <cell r="AG3157" t="str">
            <v>ЮНГ</v>
          </cell>
        </row>
        <row r="3158">
          <cell r="AG3158" t="str">
            <v>ЮНГ</v>
          </cell>
        </row>
        <row r="3159">
          <cell r="AG3159" t="str">
            <v>ЮНГ</v>
          </cell>
        </row>
        <row r="3160">
          <cell r="AG3160" t="str">
            <v>ЮНГ</v>
          </cell>
        </row>
        <row r="3161">
          <cell r="AG3161" t="str">
            <v>ЮНГ</v>
          </cell>
        </row>
        <row r="3162">
          <cell r="AG3162" t="str">
            <v>ЮНГ</v>
          </cell>
        </row>
        <row r="3163">
          <cell r="AG3163" t="str">
            <v>ЮНГ</v>
          </cell>
        </row>
        <row r="3164">
          <cell r="AG3164" t="str">
            <v>ЮНГ</v>
          </cell>
        </row>
        <row r="3165">
          <cell r="AG3165" t="str">
            <v>ЮНГ</v>
          </cell>
        </row>
        <row r="3166">
          <cell r="AG3166" t="str">
            <v>ЮНГ</v>
          </cell>
        </row>
        <row r="3167">
          <cell r="AG3167" t="str">
            <v>ЮНГ</v>
          </cell>
        </row>
        <row r="3168">
          <cell r="AG3168" t="str">
            <v>ЮНГ</v>
          </cell>
        </row>
        <row r="3169">
          <cell r="AG3169" t="str">
            <v>ЮНГ</v>
          </cell>
        </row>
        <row r="3170">
          <cell r="AG3170" t="str">
            <v>ЮНГ</v>
          </cell>
        </row>
        <row r="3171">
          <cell r="AG3171" t="str">
            <v>ЮНГ</v>
          </cell>
        </row>
        <row r="3172">
          <cell r="AG3172" t="str">
            <v>ЮНГ</v>
          </cell>
        </row>
        <row r="3173">
          <cell r="AG3173" t="str">
            <v>ЮНГ</v>
          </cell>
        </row>
        <row r="3174">
          <cell r="AG3174" t="str">
            <v>ЮНГ</v>
          </cell>
        </row>
        <row r="3175">
          <cell r="AG3175" t="str">
            <v>ЮНГ</v>
          </cell>
        </row>
        <row r="3176">
          <cell r="AG3176" t="str">
            <v>ЮНГ</v>
          </cell>
        </row>
        <row r="3177">
          <cell r="AG3177" t="str">
            <v>ЮНГ</v>
          </cell>
        </row>
        <row r="3178">
          <cell r="AG3178" t="str">
            <v>ЮНГ</v>
          </cell>
        </row>
        <row r="3179">
          <cell r="AG3179" t="str">
            <v>ЮНГ</v>
          </cell>
        </row>
        <row r="3180">
          <cell r="AG3180" t="str">
            <v>ЮНГ</v>
          </cell>
        </row>
        <row r="3181">
          <cell r="AG3181" t="str">
            <v>ЮНГ</v>
          </cell>
        </row>
        <row r="3182">
          <cell r="AG3182" t="str">
            <v>ЮНГ</v>
          </cell>
        </row>
        <row r="3183">
          <cell r="AG3183" t="str">
            <v>ЮНГ</v>
          </cell>
        </row>
        <row r="3184">
          <cell r="AG3184" t="str">
            <v>ЮНГ</v>
          </cell>
        </row>
        <row r="3185">
          <cell r="AG3185" t="str">
            <v>ЮНГ</v>
          </cell>
        </row>
        <row r="3186">
          <cell r="AG3186" t="str">
            <v>ЮНГ</v>
          </cell>
        </row>
        <row r="3187">
          <cell r="AG3187" t="str">
            <v>ЮНГ</v>
          </cell>
        </row>
        <row r="3188">
          <cell r="AG3188" t="str">
            <v>ЮНГ</v>
          </cell>
        </row>
        <row r="3189">
          <cell r="AG3189" t="str">
            <v>ЮНГ</v>
          </cell>
        </row>
        <row r="3190">
          <cell r="AG3190" t="str">
            <v>ЮНГ</v>
          </cell>
        </row>
        <row r="3191">
          <cell r="AG3191" t="str">
            <v>ЮНГ</v>
          </cell>
        </row>
        <row r="3192">
          <cell r="AG3192" t="str">
            <v>ЮНГ</v>
          </cell>
        </row>
        <row r="3193">
          <cell r="AG3193" t="str">
            <v>ЮНГ</v>
          </cell>
        </row>
        <row r="3194">
          <cell r="AG3194" t="str">
            <v>ЮНГ</v>
          </cell>
        </row>
        <row r="3195">
          <cell r="AG3195" t="str">
            <v>ЮНГ</v>
          </cell>
        </row>
        <row r="3196">
          <cell r="AG3196" t="str">
            <v>ЮНГ</v>
          </cell>
        </row>
        <row r="3197">
          <cell r="AG3197" t="str">
            <v>ЮНГ</v>
          </cell>
        </row>
        <row r="3198">
          <cell r="AG3198" t="str">
            <v>ЮНГ</v>
          </cell>
        </row>
        <row r="3199">
          <cell r="AG3199" t="str">
            <v>ЮНГ</v>
          </cell>
        </row>
        <row r="3200">
          <cell r="AG3200" t="str">
            <v>ЮНГ</v>
          </cell>
        </row>
        <row r="3201">
          <cell r="AG3201" t="str">
            <v>ЮНГ</v>
          </cell>
        </row>
        <row r="3202">
          <cell r="AG3202" t="str">
            <v>ЮНГ</v>
          </cell>
        </row>
        <row r="3203">
          <cell r="AG3203" t="str">
            <v>ЮНГ</v>
          </cell>
        </row>
        <row r="3204">
          <cell r="AG3204" t="str">
            <v>ЮНГ</v>
          </cell>
        </row>
        <row r="3205">
          <cell r="AG3205" t="str">
            <v>ЮНГ</v>
          </cell>
        </row>
        <row r="3206">
          <cell r="AG3206" t="str">
            <v>ЮНГ</v>
          </cell>
        </row>
        <row r="3207">
          <cell r="AG3207" t="str">
            <v>ЮНГ</v>
          </cell>
        </row>
        <row r="3208">
          <cell r="AG3208" t="str">
            <v>ЮНГ</v>
          </cell>
        </row>
        <row r="3209">
          <cell r="AG3209" t="str">
            <v>ЮНГ</v>
          </cell>
        </row>
        <row r="3210">
          <cell r="AG3210" t="str">
            <v>ЮНГ</v>
          </cell>
        </row>
        <row r="3211">
          <cell r="AG3211" t="str">
            <v>ЮНГ</v>
          </cell>
        </row>
        <row r="3212">
          <cell r="AG3212" t="str">
            <v>ЮНГ</v>
          </cell>
        </row>
        <row r="3213">
          <cell r="AG3213" t="str">
            <v>ЮНГ</v>
          </cell>
        </row>
        <row r="3214">
          <cell r="AG3214" t="str">
            <v>ЮНГ</v>
          </cell>
        </row>
        <row r="3215">
          <cell r="AG3215" t="str">
            <v>ЮНГ</v>
          </cell>
        </row>
        <row r="3216">
          <cell r="AG3216" t="str">
            <v>ЮНГ</v>
          </cell>
        </row>
        <row r="3217">
          <cell r="AG3217" t="str">
            <v>ЮНГ</v>
          </cell>
        </row>
        <row r="3218">
          <cell r="AG3218" t="str">
            <v>ЮНГ</v>
          </cell>
        </row>
        <row r="3219">
          <cell r="AG3219" t="str">
            <v>ЮНГ</v>
          </cell>
        </row>
        <row r="3220">
          <cell r="AG3220" t="str">
            <v>ЮНГ</v>
          </cell>
        </row>
        <row r="3221">
          <cell r="AG3221" t="str">
            <v>ЮНГ</v>
          </cell>
        </row>
        <row r="3222">
          <cell r="AG3222" t="str">
            <v>ЮНГ</v>
          </cell>
        </row>
        <row r="3223">
          <cell r="AG3223" t="str">
            <v>ЮНГ</v>
          </cell>
        </row>
        <row r="3224">
          <cell r="AG3224" t="str">
            <v>ЮНГ</v>
          </cell>
        </row>
        <row r="3225">
          <cell r="AG3225" t="str">
            <v>ЮНГ</v>
          </cell>
        </row>
        <row r="3226">
          <cell r="AG3226" t="str">
            <v>ЮНГ</v>
          </cell>
        </row>
        <row r="3227">
          <cell r="AG3227" t="str">
            <v>ЮНГ</v>
          </cell>
        </row>
        <row r="3228">
          <cell r="AG3228" t="str">
            <v>ЮНГ</v>
          </cell>
        </row>
        <row r="3229">
          <cell r="AG3229" t="str">
            <v>ЮНГ</v>
          </cell>
        </row>
        <row r="3230">
          <cell r="AG3230" t="str">
            <v>ЮНГ</v>
          </cell>
        </row>
        <row r="3231">
          <cell r="AG3231" t="str">
            <v>ЮНГ</v>
          </cell>
        </row>
        <row r="3232">
          <cell r="AG3232" t="str">
            <v>ЮНГ</v>
          </cell>
        </row>
        <row r="3233">
          <cell r="AG3233" t="str">
            <v>ЮНГ</v>
          </cell>
        </row>
        <row r="3234">
          <cell r="AG3234" t="str">
            <v>ЮНГ</v>
          </cell>
        </row>
        <row r="3235">
          <cell r="AG3235" t="str">
            <v>ЮНГ</v>
          </cell>
        </row>
        <row r="3236">
          <cell r="AG3236" t="str">
            <v>ЮНГ</v>
          </cell>
        </row>
        <row r="3237">
          <cell r="AG3237" t="str">
            <v>ЮНГ</v>
          </cell>
        </row>
        <row r="3238">
          <cell r="AG3238" t="str">
            <v>ЮНГ</v>
          </cell>
        </row>
        <row r="3239">
          <cell r="AG3239" t="str">
            <v>ЮНГ</v>
          </cell>
        </row>
        <row r="3240">
          <cell r="AG3240" t="str">
            <v>ЮНГ</v>
          </cell>
        </row>
        <row r="3241">
          <cell r="AG3241" t="str">
            <v>ЮНГ</v>
          </cell>
        </row>
        <row r="3242">
          <cell r="AG3242" t="str">
            <v>ЮНГ</v>
          </cell>
        </row>
        <row r="3243">
          <cell r="AG3243" t="str">
            <v>ЮНГ</v>
          </cell>
        </row>
        <row r="3244">
          <cell r="AG3244" t="str">
            <v>ЮНГ</v>
          </cell>
        </row>
        <row r="3245">
          <cell r="AG3245" t="str">
            <v>ЮНГ</v>
          </cell>
        </row>
        <row r="3246">
          <cell r="AG3246" t="str">
            <v>ЮНГ</v>
          </cell>
        </row>
        <row r="3247">
          <cell r="AG3247" t="str">
            <v>ЮНГ</v>
          </cell>
        </row>
        <row r="3248">
          <cell r="AG3248" t="str">
            <v>ЮНГ</v>
          </cell>
        </row>
        <row r="3249">
          <cell r="AG3249" t="str">
            <v>ЮНГ</v>
          </cell>
        </row>
        <row r="3250">
          <cell r="AG3250" t="str">
            <v>ЮНГ</v>
          </cell>
        </row>
        <row r="3251">
          <cell r="AG3251" t="str">
            <v>ЮНГ</v>
          </cell>
        </row>
        <row r="3252">
          <cell r="AG3252" t="str">
            <v>ЮНГ</v>
          </cell>
        </row>
        <row r="3253">
          <cell r="AG3253" t="str">
            <v>ЮНГ</v>
          </cell>
        </row>
        <row r="3254">
          <cell r="AG3254" t="str">
            <v>ЮНГ</v>
          </cell>
        </row>
        <row r="3255">
          <cell r="AG3255" t="str">
            <v>ЮНГ</v>
          </cell>
        </row>
        <row r="3256">
          <cell r="AG3256" t="str">
            <v>ЮНГ</v>
          </cell>
        </row>
        <row r="3257">
          <cell r="AG3257" t="str">
            <v>ЮНГ</v>
          </cell>
        </row>
        <row r="3258">
          <cell r="AG3258" t="str">
            <v>ЮНГ</v>
          </cell>
        </row>
        <row r="3259">
          <cell r="AG3259" t="str">
            <v>ЮНГ</v>
          </cell>
        </row>
        <row r="3260">
          <cell r="AG3260" t="str">
            <v>ЮНГ</v>
          </cell>
        </row>
        <row r="3261">
          <cell r="AG3261" t="str">
            <v>ЮНГ</v>
          </cell>
        </row>
        <row r="3262">
          <cell r="AG3262" t="str">
            <v>ЮНГ</v>
          </cell>
        </row>
        <row r="3263">
          <cell r="AG3263" t="str">
            <v>ЮНГ</v>
          </cell>
        </row>
        <row r="3264">
          <cell r="AG3264" t="str">
            <v>ЮНГ</v>
          </cell>
        </row>
        <row r="3265">
          <cell r="AG3265" t="str">
            <v>ЮНГ</v>
          </cell>
        </row>
        <row r="3266">
          <cell r="AG3266" t="str">
            <v>ЮНГ</v>
          </cell>
        </row>
        <row r="3267">
          <cell r="AG3267" t="str">
            <v>ЮНГ</v>
          </cell>
        </row>
        <row r="3268">
          <cell r="AG3268" t="str">
            <v>ЮНГ</v>
          </cell>
        </row>
        <row r="3269">
          <cell r="AG3269" t="str">
            <v>ЮНГ</v>
          </cell>
        </row>
        <row r="3270">
          <cell r="AG3270" t="str">
            <v>ЮНГ</v>
          </cell>
        </row>
        <row r="3271">
          <cell r="AG3271" t="str">
            <v>ЮНГ</v>
          </cell>
        </row>
        <row r="3272">
          <cell r="AG3272" t="str">
            <v>ЮНГ</v>
          </cell>
        </row>
        <row r="3273">
          <cell r="AG3273" t="str">
            <v>ЮНГ</v>
          </cell>
        </row>
        <row r="3274">
          <cell r="AG3274" t="str">
            <v>ЮНГ</v>
          </cell>
        </row>
        <row r="3275">
          <cell r="AG3275" t="str">
            <v>ЮНГ</v>
          </cell>
        </row>
        <row r="3276">
          <cell r="AG3276" t="str">
            <v>ЮНГ</v>
          </cell>
        </row>
        <row r="3277">
          <cell r="AG3277" t="str">
            <v>ЮНГ</v>
          </cell>
        </row>
        <row r="3278">
          <cell r="AG3278" t="str">
            <v>ЮНГ</v>
          </cell>
        </row>
        <row r="3279">
          <cell r="AG3279" t="str">
            <v>ЮНГ</v>
          </cell>
        </row>
        <row r="3280">
          <cell r="AG3280" t="str">
            <v>ЮНГ</v>
          </cell>
        </row>
        <row r="3281">
          <cell r="AG3281" t="str">
            <v>ЮНГ</v>
          </cell>
        </row>
        <row r="3282">
          <cell r="AG3282" t="str">
            <v>ЮНГ</v>
          </cell>
        </row>
        <row r="3283">
          <cell r="AG3283" t="str">
            <v>ЮНГ</v>
          </cell>
        </row>
        <row r="3284">
          <cell r="AG3284" t="str">
            <v>ЮНГ</v>
          </cell>
        </row>
        <row r="3285">
          <cell r="AG3285" t="str">
            <v>ЮНГ</v>
          </cell>
        </row>
        <row r="3286">
          <cell r="AG3286" t="str">
            <v>ЮНГ</v>
          </cell>
        </row>
        <row r="3287">
          <cell r="AG3287" t="str">
            <v>ЮНГ</v>
          </cell>
        </row>
        <row r="3288">
          <cell r="AG3288" t="str">
            <v>ЮНГ</v>
          </cell>
        </row>
        <row r="3289">
          <cell r="AG3289" t="str">
            <v>ЮНГ</v>
          </cell>
        </row>
        <row r="3290">
          <cell r="AG3290" t="str">
            <v>ЮНГ</v>
          </cell>
        </row>
        <row r="3291">
          <cell r="AG3291" t="str">
            <v>ЮНГ</v>
          </cell>
        </row>
        <row r="3292">
          <cell r="AG3292" t="str">
            <v>ЮНГ</v>
          </cell>
        </row>
        <row r="3293">
          <cell r="AG3293" t="str">
            <v>ЮНГ</v>
          </cell>
        </row>
        <row r="3294">
          <cell r="AG3294" t="str">
            <v>ЮНГ</v>
          </cell>
        </row>
        <row r="3295">
          <cell r="AG3295" t="str">
            <v>ЮНГ</v>
          </cell>
        </row>
        <row r="3296">
          <cell r="AG3296" t="str">
            <v>ЮНГ</v>
          </cell>
        </row>
        <row r="3297">
          <cell r="AG3297" t="str">
            <v>ЮНГ</v>
          </cell>
        </row>
        <row r="3298">
          <cell r="AG3298" t="str">
            <v>ЮНГ</v>
          </cell>
        </row>
        <row r="3299">
          <cell r="AG3299" t="str">
            <v>ЮНГ</v>
          </cell>
        </row>
        <row r="3300">
          <cell r="AG3300" t="str">
            <v>ЮНГ</v>
          </cell>
        </row>
        <row r="3301">
          <cell r="AG3301" t="str">
            <v>ЮНГ</v>
          </cell>
        </row>
        <row r="3302">
          <cell r="AG3302" t="str">
            <v>ЮНГ</v>
          </cell>
        </row>
        <row r="3303">
          <cell r="AG3303" t="str">
            <v>ЮНГ</v>
          </cell>
        </row>
        <row r="3304">
          <cell r="AG3304" t="str">
            <v>ЮНГ</v>
          </cell>
        </row>
        <row r="3305">
          <cell r="AG3305" t="str">
            <v>ЮНГ</v>
          </cell>
        </row>
        <row r="3306">
          <cell r="AG3306" t="str">
            <v>ЮНГ</v>
          </cell>
        </row>
        <row r="3307">
          <cell r="AG3307" t="str">
            <v>ЮНГ</v>
          </cell>
        </row>
        <row r="3308">
          <cell r="AG3308" t="str">
            <v>ЮНГ</v>
          </cell>
        </row>
        <row r="3309">
          <cell r="AG3309" t="str">
            <v>ЮНГ</v>
          </cell>
        </row>
        <row r="3310">
          <cell r="AG3310" t="str">
            <v>ЮНГ</v>
          </cell>
        </row>
        <row r="3311">
          <cell r="AG3311" t="str">
            <v>ЮНГ</v>
          </cell>
        </row>
        <row r="3312">
          <cell r="AG3312" t="str">
            <v>ЮНГ</v>
          </cell>
        </row>
        <row r="3313">
          <cell r="AG3313" t="str">
            <v>ЮНГ</v>
          </cell>
        </row>
        <row r="3314">
          <cell r="AG3314" t="str">
            <v>ЮНГ</v>
          </cell>
        </row>
        <row r="3315">
          <cell r="AG3315" t="str">
            <v>ЮНГ</v>
          </cell>
        </row>
        <row r="3316">
          <cell r="AG3316" t="str">
            <v>ЮНГ</v>
          </cell>
        </row>
        <row r="3317">
          <cell r="AG3317" t="str">
            <v>ЮНГ</v>
          </cell>
        </row>
        <row r="3318">
          <cell r="AG3318" t="str">
            <v>ЮНГ</v>
          </cell>
        </row>
        <row r="3319">
          <cell r="AG3319" t="str">
            <v>ЮНГ</v>
          </cell>
        </row>
        <row r="3320">
          <cell r="AG3320" t="str">
            <v>ЮНГ</v>
          </cell>
        </row>
        <row r="3321">
          <cell r="AG3321" t="str">
            <v>ЮНГ</v>
          </cell>
        </row>
        <row r="3322">
          <cell r="AG3322" t="str">
            <v>ЮНГ</v>
          </cell>
        </row>
        <row r="3323">
          <cell r="AG3323" t="str">
            <v>ЮНГ</v>
          </cell>
        </row>
        <row r="3324">
          <cell r="AG3324" t="str">
            <v>ЮНГ</v>
          </cell>
        </row>
        <row r="3325">
          <cell r="AG3325" t="str">
            <v>ЮНГ</v>
          </cell>
        </row>
        <row r="3326">
          <cell r="AG3326" t="str">
            <v>ЮНГ</v>
          </cell>
        </row>
        <row r="3327">
          <cell r="AG3327" t="str">
            <v>ЮНГ</v>
          </cell>
        </row>
        <row r="3328">
          <cell r="AG3328" t="str">
            <v>ЮНГ</v>
          </cell>
        </row>
        <row r="3329">
          <cell r="AG3329" t="str">
            <v>ЮНГ</v>
          </cell>
        </row>
        <row r="3330">
          <cell r="AG3330" t="str">
            <v>ЮНГ</v>
          </cell>
        </row>
        <row r="3331">
          <cell r="AG3331" t="str">
            <v>ЮНГ</v>
          </cell>
        </row>
        <row r="3332">
          <cell r="AG3332" t="str">
            <v>ЮНГ</v>
          </cell>
        </row>
        <row r="3333">
          <cell r="AG3333" t="str">
            <v>ЮНГ</v>
          </cell>
        </row>
        <row r="3334">
          <cell r="AG3334" t="str">
            <v>ЮНГ</v>
          </cell>
        </row>
        <row r="3335">
          <cell r="AG3335" t="str">
            <v>ЮНГ</v>
          </cell>
        </row>
        <row r="3336">
          <cell r="AG3336" t="str">
            <v>ЮНГ</v>
          </cell>
        </row>
        <row r="3337">
          <cell r="AG3337" t="str">
            <v>ЮНГ</v>
          </cell>
        </row>
        <row r="3338">
          <cell r="AG3338" t="str">
            <v>ЮНГ</v>
          </cell>
        </row>
        <row r="3339">
          <cell r="AG3339" t="str">
            <v>ЮНГ</v>
          </cell>
        </row>
        <row r="3340">
          <cell r="AG3340" t="str">
            <v>ЮНГ</v>
          </cell>
        </row>
        <row r="3341">
          <cell r="AG3341" t="str">
            <v>ЮНГ</v>
          </cell>
        </row>
        <row r="3342">
          <cell r="AG3342" t="str">
            <v>ЮНГ</v>
          </cell>
        </row>
        <row r="3343">
          <cell r="AG3343" t="str">
            <v>ЮНГ</v>
          </cell>
        </row>
        <row r="3344">
          <cell r="AG3344" t="str">
            <v>ЮНГ</v>
          </cell>
        </row>
        <row r="3345">
          <cell r="AG3345" t="str">
            <v>ЮНГ</v>
          </cell>
        </row>
        <row r="3346">
          <cell r="AG3346" t="str">
            <v>ЮНГ</v>
          </cell>
        </row>
        <row r="3347">
          <cell r="AG3347" t="str">
            <v>ЮНГ</v>
          </cell>
        </row>
        <row r="3348">
          <cell r="AG3348" t="str">
            <v>ЮНГ</v>
          </cell>
        </row>
        <row r="3349">
          <cell r="AG3349" t="str">
            <v>ЮНГ</v>
          </cell>
        </row>
        <row r="3350">
          <cell r="AG3350" t="str">
            <v>ЮНГ</v>
          </cell>
        </row>
        <row r="3351">
          <cell r="AG3351" t="str">
            <v>ЮНГ</v>
          </cell>
        </row>
        <row r="3352">
          <cell r="AG3352" t="str">
            <v>ЮНГ</v>
          </cell>
        </row>
        <row r="3353">
          <cell r="AG3353" t="str">
            <v>ЮНГ</v>
          </cell>
        </row>
        <row r="3354">
          <cell r="AG3354" t="str">
            <v>ЮНГ</v>
          </cell>
        </row>
        <row r="3355">
          <cell r="AG3355" t="str">
            <v>ЮНГ</v>
          </cell>
        </row>
        <row r="3356">
          <cell r="AG3356" t="str">
            <v>ЮНГ</v>
          </cell>
        </row>
        <row r="3357">
          <cell r="AG3357" t="str">
            <v>ЮНГ</v>
          </cell>
        </row>
        <row r="3358">
          <cell r="AG3358" t="str">
            <v>ЮНГ</v>
          </cell>
        </row>
        <row r="3359">
          <cell r="AG3359" t="str">
            <v>ЮНГ</v>
          </cell>
        </row>
        <row r="3360">
          <cell r="AG3360" t="str">
            <v>ЮНГ</v>
          </cell>
        </row>
        <row r="3361">
          <cell r="AG3361" t="str">
            <v>ЮНГ</v>
          </cell>
        </row>
        <row r="3362">
          <cell r="AG3362" t="str">
            <v>ЮНГ</v>
          </cell>
        </row>
        <row r="3363">
          <cell r="AG3363" t="str">
            <v>ЮНГ</v>
          </cell>
        </row>
        <row r="3364">
          <cell r="AG3364" t="str">
            <v>ЮНГ</v>
          </cell>
        </row>
        <row r="3365">
          <cell r="AG3365" t="str">
            <v>ЮНГ</v>
          </cell>
        </row>
        <row r="3366">
          <cell r="AG3366" t="str">
            <v>ЮНГ</v>
          </cell>
        </row>
        <row r="3367">
          <cell r="AG3367" t="str">
            <v>ЮНГ</v>
          </cell>
        </row>
        <row r="3368">
          <cell r="AG3368" t="str">
            <v>ЮНГ</v>
          </cell>
        </row>
        <row r="3369">
          <cell r="AG3369" t="str">
            <v>ЮНГ</v>
          </cell>
        </row>
        <row r="3370">
          <cell r="AG3370" t="str">
            <v>ЮНГ</v>
          </cell>
        </row>
        <row r="3371">
          <cell r="AG3371" t="str">
            <v>ЮНГ</v>
          </cell>
        </row>
        <row r="3372">
          <cell r="AG3372" t="str">
            <v>ЮНГ</v>
          </cell>
        </row>
        <row r="3373">
          <cell r="AG3373" t="str">
            <v>ЮНГ</v>
          </cell>
        </row>
        <row r="3374">
          <cell r="AG3374" t="str">
            <v>ЮНГ</v>
          </cell>
        </row>
        <row r="3375">
          <cell r="AG3375" t="str">
            <v>ЮНГ</v>
          </cell>
        </row>
        <row r="3376">
          <cell r="AG3376" t="str">
            <v>ЮНГ</v>
          </cell>
        </row>
        <row r="3377">
          <cell r="AG3377" t="str">
            <v>ЮНГ</v>
          </cell>
        </row>
        <row r="3378">
          <cell r="AG3378" t="str">
            <v>ЮНГ</v>
          </cell>
        </row>
        <row r="3379">
          <cell r="AG3379" t="str">
            <v>ЮНГ</v>
          </cell>
        </row>
        <row r="3380">
          <cell r="AG3380" t="str">
            <v>ЮНГ</v>
          </cell>
        </row>
        <row r="3381">
          <cell r="AG3381" t="str">
            <v>ЮНГ</v>
          </cell>
        </row>
        <row r="3382">
          <cell r="AG3382" t="str">
            <v>ЮНГ</v>
          </cell>
        </row>
        <row r="3383">
          <cell r="AG3383" t="str">
            <v>ЮНГ</v>
          </cell>
        </row>
        <row r="3384">
          <cell r="AG3384" t="str">
            <v>ЮНГ</v>
          </cell>
        </row>
        <row r="3385">
          <cell r="AG3385" t="str">
            <v>ЮНГ</v>
          </cell>
        </row>
        <row r="3386">
          <cell r="AG3386" t="str">
            <v>ЮНГ</v>
          </cell>
        </row>
        <row r="3387">
          <cell r="AG3387" t="str">
            <v>ЮНГ</v>
          </cell>
        </row>
        <row r="3388">
          <cell r="AG3388" t="str">
            <v>ЮНГ</v>
          </cell>
        </row>
        <row r="3389">
          <cell r="AG3389" t="str">
            <v>ЮНГ</v>
          </cell>
        </row>
        <row r="3390">
          <cell r="AG3390" t="str">
            <v>ЮНГ</v>
          </cell>
        </row>
        <row r="3391">
          <cell r="AG3391" t="str">
            <v>ЮНГ</v>
          </cell>
        </row>
        <row r="3392">
          <cell r="AG3392" t="str">
            <v>ЮНГ</v>
          </cell>
        </row>
        <row r="3393">
          <cell r="AG3393" t="str">
            <v>ЮНГ</v>
          </cell>
        </row>
        <row r="3394">
          <cell r="AG3394" t="str">
            <v>ЮНГ</v>
          </cell>
        </row>
        <row r="3395">
          <cell r="AG3395" t="str">
            <v>ЮНГ</v>
          </cell>
        </row>
        <row r="3396">
          <cell r="AG3396" t="str">
            <v>ЮНГ</v>
          </cell>
        </row>
        <row r="3397">
          <cell r="AG3397" t="str">
            <v>ЮНГ</v>
          </cell>
        </row>
        <row r="3398">
          <cell r="AG3398" t="str">
            <v>ЮНГ</v>
          </cell>
        </row>
        <row r="3399">
          <cell r="AG3399" t="str">
            <v>ЮНГ</v>
          </cell>
        </row>
        <row r="3400">
          <cell r="AG3400" t="str">
            <v>ЮНГ</v>
          </cell>
        </row>
        <row r="3401">
          <cell r="AG3401" t="str">
            <v>ЮНГ</v>
          </cell>
        </row>
        <row r="3402">
          <cell r="AG3402" t="str">
            <v>ЮНГ</v>
          </cell>
        </row>
        <row r="3403">
          <cell r="AG3403" t="str">
            <v>ЮНГ</v>
          </cell>
        </row>
        <row r="3404">
          <cell r="AG3404" t="str">
            <v>ЮНГ</v>
          </cell>
        </row>
        <row r="3405">
          <cell r="AG3405" t="str">
            <v>ЮНГ</v>
          </cell>
        </row>
        <row r="3406">
          <cell r="AG3406" t="str">
            <v>ЮНГ</v>
          </cell>
        </row>
        <row r="3407">
          <cell r="AG3407" t="str">
            <v>ЮНГ</v>
          </cell>
        </row>
        <row r="3408">
          <cell r="AG3408" t="str">
            <v>ЮНГ</v>
          </cell>
        </row>
        <row r="3409">
          <cell r="AG3409" t="str">
            <v>ЮНГ</v>
          </cell>
        </row>
        <row r="3410">
          <cell r="AG3410" t="str">
            <v>ЮНГ</v>
          </cell>
        </row>
        <row r="3411">
          <cell r="AG3411" t="str">
            <v>ЮНГ</v>
          </cell>
        </row>
        <row r="3412">
          <cell r="AG3412" t="str">
            <v>ЮНГ</v>
          </cell>
        </row>
        <row r="3413">
          <cell r="AG3413" t="str">
            <v>ЮНГ</v>
          </cell>
        </row>
        <row r="3414">
          <cell r="AG3414" t="str">
            <v>ЮНГ</v>
          </cell>
        </row>
        <row r="3415">
          <cell r="AG3415" t="str">
            <v>ЮНГ</v>
          </cell>
        </row>
        <row r="3416">
          <cell r="AG3416" t="str">
            <v>ЮНГ</v>
          </cell>
        </row>
        <row r="3417">
          <cell r="AG3417" t="str">
            <v>ЮНГ</v>
          </cell>
        </row>
        <row r="3418">
          <cell r="AG3418" t="str">
            <v>ЮНГ</v>
          </cell>
        </row>
        <row r="3419">
          <cell r="AG3419" t="str">
            <v>ЮНГ</v>
          </cell>
        </row>
        <row r="3420">
          <cell r="AG3420" t="str">
            <v>ЮНГ</v>
          </cell>
        </row>
        <row r="3421">
          <cell r="AG3421" t="str">
            <v>ЮНГ</v>
          </cell>
        </row>
        <row r="3422">
          <cell r="AG3422" t="str">
            <v>ЮНГ</v>
          </cell>
        </row>
        <row r="3423">
          <cell r="AG3423" t="str">
            <v>ЮНГ</v>
          </cell>
        </row>
        <row r="3424">
          <cell r="AG3424" t="str">
            <v>ЮНГ</v>
          </cell>
        </row>
        <row r="3425">
          <cell r="AG3425" t="str">
            <v>ЮНГ</v>
          </cell>
        </row>
        <row r="3426">
          <cell r="AG3426" t="str">
            <v>ЮНГ</v>
          </cell>
        </row>
        <row r="3427">
          <cell r="AG3427" t="str">
            <v>ЮНГ</v>
          </cell>
        </row>
        <row r="3428">
          <cell r="AG3428" t="str">
            <v>ЮНГ</v>
          </cell>
        </row>
        <row r="3429">
          <cell r="AG3429" t="str">
            <v>ЮНГ</v>
          </cell>
        </row>
        <row r="3430">
          <cell r="AG3430" t="str">
            <v>ЮНГ</v>
          </cell>
        </row>
        <row r="3431">
          <cell r="AG3431" t="str">
            <v>ЮНГ</v>
          </cell>
        </row>
        <row r="3432">
          <cell r="AG3432" t="str">
            <v>ЮНГ</v>
          </cell>
        </row>
        <row r="3433">
          <cell r="AG3433" t="str">
            <v>ЮНГ</v>
          </cell>
        </row>
        <row r="3434">
          <cell r="AG3434" t="str">
            <v>ЮНГ</v>
          </cell>
        </row>
        <row r="3435">
          <cell r="AG3435" t="str">
            <v>ЮНГ</v>
          </cell>
        </row>
        <row r="3436">
          <cell r="AG3436" t="str">
            <v>ЮНГ</v>
          </cell>
        </row>
        <row r="3437">
          <cell r="AG3437" t="str">
            <v>ЮНГ</v>
          </cell>
        </row>
        <row r="3438">
          <cell r="AG3438" t="str">
            <v>ЮНГ</v>
          </cell>
        </row>
        <row r="3439">
          <cell r="AG3439" t="str">
            <v>ЮНГ</v>
          </cell>
        </row>
        <row r="3440">
          <cell r="AG3440" t="str">
            <v>ЮНГ</v>
          </cell>
        </row>
        <row r="3441">
          <cell r="AG3441" t="str">
            <v>ЮНГ</v>
          </cell>
        </row>
        <row r="3442">
          <cell r="AG3442" t="str">
            <v>ЮНГ</v>
          </cell>
        </row>
        <row r="3443">
          <cell r="AG3443" t="str">
            <v>ЮНГ</v>
          </cell>
        </row>
        <row r="3444">
          <cell r="AG3444" t="str">
            <v>ЮНГ</v>
          </cell>
        </row>
        <row r="3445">
          <cell r="AG3445" t="str">
            <v>ЮНГ</v>
          </cell>
        </row>
        <row r="3446">
          <cell r="AG3446" t="str">
            <v>ЮНГ</v>
          </cell>
        </row>
        <row r="3447">
          <cell r="AG3447" t="str">
            <v>ЮНГ</v>
          </cell>
        </row>
        <row r="3448">
          <cell r="AG3448" t="str">
            <v>ЮНГ</v>
          </cell>
        </row>
        <row r="3449">
          <cell r="AG3449" t="str">
            <v>ЮНГ</v>
          </cell>
        </row>
        <row r="3450">
          <cell r="AG3450" t="str">
            <v>ЮНГ</v>
          </cell>
        </row>
        <row r="3451">
          <cell r="AG3451" t="str">
            <v>ЮНГ</v>
          </cell>
        </row>
        <row r="3452">
          <cell r="AG3452" t="str">
            <v>ЮНГ</v>
          </cell>
        </row>
        <row r="3453">
          <cell r="AG3453" t="str">
            <v>ЮНГ</v>
          </cell>
        </row>
        <row r="3454">
          <cell r="AG3454" t="str">
            <v>ЮНГ</v>
          </cell>
        </row>
        <row r="3455">
          <cell r="AG3455" t="str">
            <v>ЮНГ</v>
          </cell>
        </row>
        <row r="3456">
          <cell r="AG3456" t="str">
            <v>ЮНГ</v>
          </cell>
        </row>
        <row r="3457">
          <cell r="AG3457" t="str">
            <v>ЮНГ</v>
          </cell>
        </row>
        <row r="3458">
          <cell r="AG3458" t="str">
            <v>ЮНГ</v>
          </cell>
        </row>
        <row r="3459">
          <cell r="AG3459" t="str">
            <v>ЮНГ</v>
          </cell>
        </row>
        <row r="3460">
          <cell r="AG3460" t="str">
            <v>ЮНГ</v>
          </cell>
        </row>
        <row r="3461">
          <cell r="AG3461" t="str">
            <v>ЮНГ</v>
          </cell>
        </row>
        <row r="3462">
          <cell r="AG3462" t="str">
            <v>ЮНГ</v>
          </cell>
        </row>
        <row r="3463">
          <cell r="AG3463" t="str">
            <v>ЮНГ</v>
          </cell>
        </row>
        <row r="3464">
          <cell r="AG3464" t="str">
            <v>ЮНГ</v>
          </cell>
        </row>
        <row r="3465">
          <cell r="AG3465" t="str">
            <v>ЮНГ</v>
          </cell>
        </row>
        <row r="3466">
          <cell r="AG3466" t="str">
            <v>ЮНГ</v>
          </cell>
        </row>
        <row r="3467">
          <cell r="AG3467" t="str">
            <v>ЮНГ</v>
          </cell>
        </row>
        <row r="3468">
          <cell r="AG3468" t="str">
            <v>ЮНГ</v>
          </cell>
        </row>
        <row r="3469">
          <cell r="AG3469" t="str">
            <v>ЮНГ</v>
          </cell>
        </row>
        <row r="3470">
          <cell r="AG3470" t="str">
            <v>ЮНГ</v>
          </cell>
        </row>
        <row r="3471">
          <cell r="AG3471" t="str">
            <v>ЮНГ</v>
          </cell>
        </row>
        <row r="3472">
          <cell r="AG3472" t="str">
            <v>ЮНГ</v>
          </cell>
        </row>
        <row r="3473">
          <cell r="AG3473" t="str">
            <v>ЮНГ</v>
          </cell>
        </row>
        <row r="3474">
          <cell r="AG3474" t="str">
            <v>ЮНГ</v>
          </cell>
        </row>
        <row r="3475">
          <cell r="AG3475" t="str">
            <v>ЮНГ</v>
          </cell>
        </row>
        <row r="3476">
          <cell r="AG3476" t="str">
            <v>ЮНГ</v>
          </cell>
        </row>
        <row r="3477">
          <cell r="AG3477" t="str">
            <v>ЮНГ</v>
          </cell>
        </row>
        <row r="3478">
          <cell r="AG3478" t="str">
            <v>ЮНГ</v>
          </cell>
        </row>
        <row r="3479">
          <cell r="AG3479" t="str">
            <v>ЮНГ</v>
          </cell>
        </row>
        <row r="3480">
          <cell r="AG3480" t="str">
            <v>ЮНГ</v>
          </cell>
        </row>
        <row r="3481">
          <cell r="AG3481" t="str">
            <v>ЮНГ</v>
          </cell>
        </row>
        <row r="3482">
          <cell r="AG3482" t="str">
            <v>ЮНГ</v>
          </cell>
        </row>
        <row r="3483">
          <cell r="AG3483" t="str">
            <v>ЮНГ</v>
          </cell>
        </row>
        <row r="3484">
          <cell r="AG3484" t="str">
            <v>ЮНГ</v>
          </cell>
        </row>
        <row r="3485">
          <cell r="AG3485" t="str">
            <v>ЮНГ</v>
          </cell>
        </row>
        <row r="3486">
          <cell r="AG3486" t="str">
            <v>ЮНГ</v>
          </cell>
        </row>
        <row r="3487">
          <cell r="AG3487" t="str">
            <v>ЮНГ</v>
          </cell>
        </row>
        <row r="3488">
          <cell r="AG3488" t="str">
            <v>ЮНГ</v>
          </cell>
        </row>
        <row r="3489">
          <cell r="AG3489" t="str">
            <v>ЮНГ</v>
          </cell>
        </row>
        <row r="3490">
          <cell r="AG3490" t="str">
            <v>ЮНГ</v>
          </cell>
        </row>
        <row r="3491">
          <cell r="AG3491" t="str">
            <v>ЮНГ</v>
          </cell>
        </row>
        <row r="3492">
          <cell r="AG3492" t="str">
            <v>ЮНГ</v>
          </cell>
        </row>
        <row r="3493">
          <cell r="AG3493" t="str">
            <v>ЮНГ</v>
          </cell>
        </row>
        <row r="3494">
          <cell r="AG3494" t="str">
            <v>ЮНГ</v>
          </cell>
        </row>
        <row r="3495">
          <cell r="AG3495" t="str">
            <v>ЮНГ</v>
          </cell>
        </row>
        <row r="3496">
          <cell r="AG3496" t="str">
            <v>ЮНГ</v>
          </cell>
        </row>
        <row r="3497">
          <cell r="AG3497" t="str">
            <v>ЮНГ</v>
          </cell>
        </row>
        <row r="3498">
          <cell r="AG3498" t="str">
            <v>ЮНГ</v>
          </cell>
        </row>
        <row r="3499">
          <cell r="AG3499" t="str">
            <v>ЮНГ</v>
          </cell>
        </row>
        <row r="3500">
          <cell r="AG3500" t="str">
            <v>ЮНГ</v>
          </cell>
        </row>
        <row r="3501">
          <cell r="AG3501" t="str">
            <v>ЮНГ</v>
          </cell>
        </row>
        <row r="3502">
          <cell r="AG3502" t="str">
            <v>ЮНГ</v>
          </cell>
        </row>
        <row r="3503">
          <cell r="AG3503" t="str">
            <v>ЮНГ</v>
          </cell>
        </row>
        <row r="3504">
          <cell r="AG3504" t="str">
            <v>ЮНГ</v>
          </cell>
        </row>
        <row r="3505">
          <cell r="AG3505" t="str">
            <v>ЮНГ</v>
          </cell>
        </row>
        <row r="3506">
          <cell r="AG3506" t="str">
            <v>ЮНГ</v>
          </cell>
        </row>
        <row r="3507">
          <cell r="AG3507" t="str">
            <v>ЮНГ</v>
          </cell>
        </row>
        <row r="3508">
          <cell r="AG3508" t="str">
            <v>ЮНГ</v>
          </cell>
        </row>
        <row r="3509">
          <cell r="AG3509" t="str">
            <v>ЮНГ</v>
          </cell>
        </row>
        <row r="3510">
          <cell r="AG3510" t="str">
            <v>ЮНГ</v>
          </cell>
        </row>
        <row r="3511">
          <cell r="AG3511" t="str">
            <v>ЮНГ</v>
          </cell>
        </row>
        <row r="3512">
          <cell r="AG3512" t="str">
            <v>ЮНГ</v>
          </cell>
        </row>
        <row r="3513">
          <cell r="AG3513" t="str">
            <v>ЮНГ</v>
          </cell>
        </row>
        <row r="3514">
          <cell r="AG3514" t="str">
            <v>ЮНГ</v>
          </cell>
        </row>
        <row r="3515">
          <cell r="AG3515" t="str">
            <v>ЮНГ</v>
          </cell>
        </row>
        <row r="3516">
          <cell r="AG3516" t="str">
            <v>ЮНГ</v>
          </cell>
        </row>
        <row r="3517">
          <cell r="AG3517" t="str">
            <v>ЮНГ</v>
          </cell>
        </row>
        <row r="3518">
          <cell r="AG3518" t="str">
            <v>ЮНГ</v>
          </cell>
        </row>
        <row r="3519">
          <cell r="AG3519" t="str">
            <v>ЮНГ</v>
          </cell>
        </row>
        <row r="3520">
          <cell r="AG3520" t="str">
            <v>ЮНГ</v>
          </cell>
        </row>
        <row r="3521">
          <cell r="AG3521" t="str">
            <v>ЮНГ</v>
          </cell>
        </row>
        <row r="3522">
          <cell r="AG3522" t="str">
            <v>ЮНГ</v>
          </cell>
        </row>
        <row r="3523">
          <cell r="AG3523" t="str">
            <v>ЮНГ</v>
          </cell>
        </row>
        <row r="3524">
          <cell r="AG3524" t="str">
            <v>ЮНГ</v>
          </cell>
        </row>
        <row r="3525">
          <cell r="AG3525" t="str">
            <v>ЮНГ</v>
          </cell>
        </row>
        <row r="3526">
          <cell r="AG3526" t="str">
            <v>ЮНГ</v>
          </cell>
        </row>
        <row r="3527">
          <cell r="AG3527" t="str">
            <v>ЮНГ</v>
          </cell>
        </row>
        <row r="3528">
          <cell r="AG3528" t="str">
            <v>ЮНГ</v>
          </cell>
        </row>
        <row r="3529">
          <cell r="AG3529" t="str">
            <v>ЮНГ</v>
          </cell>
        </row>
        <row r="3530">
          <cell r="AG3530" t="str">
            <v>ЮНГ</v>
          </cell>
        </row>
        <row r="3531">
          <cell r="AG3531" t="str">
            <v>ЮНГ</v>
          </cell>
        </row>
        <row r="3532">
          <cell r="AG3532" t="str">
            <v>ЮНГ</v>
          </cell>
        </row>
        <row r="3533">
          <cell r="AG3533" t="str">
            <v>ЮНГ</v>
          </cell>
        </row>
        <row r="3534">
          <cell r="AG3534" t="str">
            <v>ЮНГ</v>
          </cell>
        </row>
        <row r="3535">
          <cell r="AG3535" t="str">
            <v>ЮНГ</v>
          </cell>
        </row>
        <row r="3536">
          <cell r="AG3536" t="str">
            <v>ЮНГ</v>
          </cell>
        </row>
        <row r="3537">
          <cell r="AG3537" t="str">
            <v>ЮНГ</v>
          </cell>
        </row>
        <row r="3538">
          <cell r="AG3538" t="str">
            <v>ЮНГ</v>
          </cell>
        </row>
        <row r="3539">
          <cell r="AG3539" t="str">
            <v>ЮНГ</v>
          </cell>
        </row>
        <row r="3540">
          <cell r="AG3540" t="str">
            <v>ЮНГ</v>
          </cell>
        </row>
        <row r="3541">
          <cell r="AG3541" t="str">
            <v>ЮНГ</v>
          </cell>
        </row>
        <row r="3542">
          <cell r="AG3542" t="str">
            <v>ЮНГ</v>
          </cell>
        </row>
        <row r="3543">
          <cell r="AG3543" t="str">
            <v>ЮНГ</v>
          </cell>
        </row>
        <row r="3544">
          <cell r="AG3544" t="str">
            <v>ЮНГ</v>
          </cell>
        </row>
        <row r="3545">
          <cell r="AG3545" t="str">
            <v>ЮНГ</v>
          </cell>
        </row>
        <row r="3546">
          <cell r="AG3546" t="str">
            <v>ЮНГ</v>
          </cell>
        </row>
        <row r="3547">
          <cell r="AG3547" t="str">
            <v>ЮНГ</v>
          </cell>
        </row>
        <row r="3548">
          <cell r="AG3548" t="str">
            <v>ЮНГ</v>
          </cell>
        </row>
        <row r="3549">
          <cell r="AG3549" t="str">
            <v>ЮНГ</v>
          </cell>
        </row>
        <row r="3550">
          <cell r="AG3550" t="str">
            <v>ЮНГ</v>
          </cell>
        </row>
        <row r="3551">
          <cell r="AG3551" t="str">
            <v>ЮНГ</v>
          </cell>
        </row>
        <row r="3552">
          <cell r="AG3552" t="str">
            <v>ЮНГ</v>
          </cell>
        </row>
        <row r="3553">
          <cell r="AG3553" t="str">
            <v>ЮНГ</v>
          </cell>
        </row>
        <row r="3554">
          <cell r="AG3554" t="str">
            <v>ЮНГ</v>
          </cell>
        </row>
        <row r="3555">
          <cell r="AG3555" t="str">
            <v>ЮНГ</v>
          </cell>
        </row>
        <row r="3556">
          <cell r="AG3556" t="str">
            <v>ЮНГ</v>
          </cell>
        </row>
        <row r="3557">
          <cell r="AG3557" t="str">
            <v>ЮНГ</v>
          </cell>
        </row>
        <row r="3558">
          <cell r="AG3558" t="str">
            <v>ЮНГ</v>
          </cell>
        </row>
        <row r="3559">
          <cell r="AG3559" t="str">
            <v>ЮНГ</v>
          </cell>
        </row>
        <row r="3560">
          <cell r="AG3560" t="str">
            <v>ЮНГ</v>
          </cell>
        </row>
        <row r="3561">
          <cell r="AG3561" t="str">
            <v>ЮНГ</v>
          </cell>
        </row>
        <row r="3562">
          <cell r="AG3562" t="str">
            <v>ЮНГ</v>
          </cell>
        </row>
        <row r="3563">
          <cell r="AG3563" t="str">
            <v>ЮНГ</v>
          </cell>
        </row>
        <row r="3564">
          <cell r="AG3564" t="str">
            <v>ЮНГ</v>
          </cell>
        </row>
        <row r="3565">
          <cell r="AG3565" t="str">
            <v>ЮНГ</v>
          </cell>
        </row>
        <row r="3566">
          <cell r="AG3566" t="str">
            <v>ЮНГ</v>
          </cell>
        </row>
        <row r="3567">
          <cell r="AG3567" t="str">
            <v>ЮНГ</v>
          </cell>
        </row>
        <row r="3568">
          <cell r="AG3568" t="str">
            <v>ЮНГ</v>
          </cell>
        </row>
        <row r="3569">
          <cell r="AG3569" t="str">
            <v>ЮНГ</v>
          </cell>
        </row>
        <row r="3570">
          <cell r="AG3570" t="str">
            <v>ЮНГ</v>
          </cell>
        </row>
        <row r="3571">
          <cell r="AG3571" t="str">
            <v>ЮНГ</v>
          </cell>
        </row>
        <row r="3572">
          <cell r="AG3572" t="str">
            <v>ЮНГ</v>
          </cell>
        </row>
        <row r="3573">
          <cell r="AG3573" t="str">
            <v>ЮНГ</v>
          </cell>
        </row>
        <row r="3574">
          <cell r="AG3574" t="str">
            <v>ЮНГ</v>
          </cell>
        </row>
        <row r="3575">
          <cell r="AG3575" t="str">
            <v>ЮНГ</v>
          </cell>
        </row>
        <row r="3576">
          <cell r="AG3576" t="str">
            <v>ЮНГ</v>
          </cell>
        </row>
        <row r="3577">
          <cell r="AG3577" t="str">
            <v>ЮНГ</v>
          </cell>
        </row>
        <row r="3578">
          <cell r="AG3578" t="str">
            <v>ЮНГ</v>
          </cell>
        </row>
        <row r="3579">
          <cell r="AG3579" t="str">
            <v>ЮНГ</v>
          </cell>
        </row>
        <row r="3580">
          <cell r="AG3580" t="str">
            <v>ЮНГ</v>
          </cell>
        </row>
        <row r="3581">
          <cell r="AG3581" t="str">
            <v>ЮНГ</v>
          </cell>
        </row>
        <row r="3582">
          <cell r="AG3582" t="str">
            <v>ЮНГ</v>
          </cell>
        </row>
        <row r="3583">
          <cell r="AG3583" t="str">
            <v>ЮНГ</v>
          </cell>
        </row>
        <row r="3584">
          <cell r="AG3584" t="str">
            <v>ЮНГ</v>
          </cell>
        </row>
        <row r="3585">
          <cell r="AG3585" t="str">
            <v>ЮНГ</v>
          </cell>
        </row>
        <row r="3586">
          <cell r="AG3586" t="str">
            <v>ЮНГ</v>
          </cell>
        </row>
        <row r="3587">
          <cell r="AG3587" t="str">
            <v>ЮНГ</v>
          </cell>
        </row>
        <row r="3588">
          <cell r="AG3588" t="str">
            <v>ЮНГ</v>
          </cell>
        </row>
        <row r="3589">
          <cell r="AG3589" t="str">
            <v>ЮНГ</v>
          </cell>
        </row>
        <row r="3590">
          <cell r="AG3590" t="str">
            <v>ЮНГ</v>
          </cell>
        </row>
        <row r="3591">
          <cell r="AG3591" t="str">
            <v>ЮНГ</v>
          </cell>
        </row>
        <row r="3592">
          <cell r="AG3592" t="str">
            <v>ЮНГ</v>
          </cell>
        </row>
        <row r="3593">
          <cell r="AG3593" t="str">
            <v>ЮНГ</v>
          </cell>
        </row>
        <row r="3594">
          <cell r="AG3594" t="str">
            <v>ЮНГ</v>
          </cell>
        </row>
        <row r="3595">
          <cell r="AG3595" t="str">
            <v>ЮНГ</v>
          </cell>
        </row>
        <row r="3596">
          <cell r="AG3596" t="str">
            <v>ЮНГ</v>
          </cell>
        </row>
        <row r="3597">
          <cell r="AG3597" t="str">
            <v>ЮНГ</v>
          </cell>
        </row>
        <row r="3598">
          <cell r="AG3598" t="str">
            <v>ЮНГ</v>
          </cell>
        </row>
        <row r="3599">
          <cell r="AG3599" t="str">
            <v>ЮНГ</v>
          </cell>
        </row>
        <row r="3600">
          <cell r="AG3600" t="str">
            <v>ЮНГ</v>
          </cell>
        </row>
        <row r="3601">
          <cell r="AG3601" t="str">
            <v>ЮНГ</v>
          </cell>
        </row>
        <row r="3602">
          <cell r="AG3602" t="str">
            <v>ЮНГ</v>
          </cell>
        </row>
        <row r="3603">
          <cell r="AG3603" t="str">
            <v>ЮНГ</v>
          </cell>
        </row>
        <row r="3604">
          <cell r="AG3604" t="str">
            <v>ЮНГ</v>
          </cell>
        </row>
        <row r="3605">
          <cell r="AG3605" t="str">
            <v>ЮНГ</v>
          </cell>
        </row>
        <row r="3606">
          <cell r="AG3606" t="str">
            <v>ЮНГ</v>
          </cell>
        </row>
        <row r="3607">
          <cell r="AG3607" t="str">
            <v>ЮНГ</v>
          </cell>
        </row>
        <row r="3608">
          <cell r="AG3608" t="str">
            <v>ЮНГ</v>
          </cell>
        </row>
        <row r="3609">
          <cell r="AG3609" t="str">
            <v>ЮНГ</v>
          </cell>
        </row>
        <row r="3610">
          <cell r="AG3610" t="str">
            <v>ЮНГ</v>
          </cell>
        </row>
        <row r="3611">
          <cell r="AG3611" t="str">
            <v>ЮНГ</v>
          </cell>
        </row>
        <row r="3612">
          <cell r="AG3612" t="str">
            <v>ЮНГ</v>
          </cell>
        </row>
        <row r="3613">
          <cell r="AG3613" t="str">
            <v>ЮНГ</v>
          </cell>
        </row>
        <row r="3614">
          <cell r="AG3614" t="str">
            <v>ЮНГ</v>
          </cell>
        </row>
        <row r="3615">
          <cell r="AG3615" t="str">
            <v>ЮНГ</v>
          </cell>
        </row>
        <row r="3616">
          <cell r="AG3616" t="str">
            <v>ЮНГ</v>
          </cell>
        </row>
        <row r="3617">
          <cell r="AG3617" t="str">
            <v>ЮНГ</v>
          </cell>
        </row>
        <row r="3618">
          <cell r="AG3618" t="str">
            <v>ЮНГ</v>
          </cell>
        </row>
        <row r="3619">
          <cell r="AG3619" t="str">
            <v>ЮНГ</v>
          </cell>
        </row>
        <row r="3620">
          <cell r="AG3620" t="str">
            <v>ЮНГ</v>
          </cell>
        </row>
        <row r="3621">
          <cell r="AG3621" t="str">
            <v>ЮНГ</v>
          </cell>
        </row>
        <row r="3622">
          <cell r="AG3622" t="str">
            <v>ЮНГ</v>
          </cell>
        </row>
        <row r="3623">
          <cell r="AG3623" t="str">
            <v>ЮНГ</v>
          </cell>
        </row>
        <row r="3624">
          <cell r="AG3624" t="str">
            <v>ЮНГ</v>
          </cell>
        </row>
        <row r="3625">
          <cell r="AG3625" t="str">
            <v>ЮНГ</v>
          </cell>
        </row>
        <row r="3626">
          <cell r="AG3626" t="str">
            <v>ЮНГ</v>
          </cell>
        </row>
        <row r="3627">
          <cell r="AG3627" t="str">
            <v>ЮНГ</v>
          </cell>
        </row>
        <row r="3628">
          <cell r="AG3628" t="str">
            <v>ЮНГ</v>
          </cell>
        </row>
        <row r="3629">
          <cell r="AG3629" t="str">
            <v>ЮНГ</v>
          </cell>
        </row>
        <row r="3630">
          <cell r="AG3630" t="str">
            <v>ЮНГ</v>
          </cell>
        </row>
        <row r="3631">
          <cell r="AG3631" t="str">
            <v>ЮНГ</v>
          </cell>
        </row>
        <row r="3632">
          <cell r="AG3632" t="str">
            <v>ЮНГ</v>
          </cell>
        </row>
        <row r="3633">
          <cell r="AG3633" t="str">
            <v>ЮНГ</v>
          </cell>
        </row>
        <row r="3634">
          <cell r="AG3634" t="str">
            <v>ЮНГ</v>
          </cell>
        </row>
        <row r="3635">
          <cell r="AG3635" t="str">
            <v>ЮНГ</v>
          </cell>
        </row>
        <row r="3636">
          <cell r="AG3636" t="str">
            <v>ЮНГ</v>
          </cell>
        </row>
        <row r="3637">
          <cell r="AG3637" t="str">
            <v>ЮНГ</v>
          </cell>
        </row>
        <row r="3638">
          <cell r="AG3638" t="str">
            <v>ЮНГ</v>
          </cell>
        </row>
        <row r="3639">
          <cell r="AG3639" t="str">
            <v>ЮНГ</v>
          </cell>
        </row>
        <row r="3640">
          <cell r="AG3640" t="str">
            <v>ЮНГ</v>
          </cell>
        </row>
        <row r="3641">
          <cell r="AG3641" t="str">
            <v>ЮНГ</v>
          </cell>
        </row>
        <row r="3642">
          <cell r="AG3642" t="str">
            <v>ЮНГ</v>
          </cell>
        </row>
        <row r="3643">
          <cell r="AG3643" t="str">
            <v>ЮНГ</v>
          </cell>
        </row>
        <row r="3644">
          <cell r="AG3644" t="str">
            <v>ЮНГ</v>
          </cell>
        </row>
        <row r="3645">
          <cell r="AG3645" t="str">
            <v>ЮНГ</v>
          </cell>
        </row>
        <row r="3646">
          <cell r="AG3646" t="str">
            <v>ЮНГ</v>
          </cell>
        </row>
        <row r="3647">
          <cell r="AG3647" t="str">
            <v>ЮНГ</v>
          </cell>
        </row>
        <row r="3648">
          <cell r="AG3648" t="str">
            <v>ЮНГ</v>
          </cell>
        </row>
        <row r="3649">
          <cell r="AG3649" t="str">
            <v>ЮНГ</v>
          </cell>
        </row>
        <row r="3650">
          <cell r="AG3650" t="str">
            <v>ЮНГ</v>
          </cell>
        </row>
        <row r="3651">
          <cell r="AG3651" t="str">
            <v>ЮНГ</v>
          </cell>
        </row>
        <row r="3652">
          <cell r="AG3652" t="str">
            <v>ЮНГ</v>
          </cell>
        </row>
        <row r="3653">
          <cell r="AG3653" t="str">
            <v>ЮНГ</v>
          </cell>
        </row>
        <row r="3654">
          <cell r="AG3654" t="str">
            <v>ЮНГ</v>
          </cell>
        </row>
        <row r="3655">
          <cell r="AG3655" t="str">
            <v>ЮНГ</v>
          </cell>
        </row>
        <row r="3656">
          <cell r="AG3656" t="str">
            <v>ЮНГ</v>
          </cell>
        </row>
        <row r="3657">
          <cell r="AG3657" t="str">
            <v>ЮНГ</v>
          </cell>
        </row>
        <row r="3658">
          <cell r="AG3658" t="str">
            <v>ЮНГ</v>
          </cell>
        </row>
        <row r="3659">
          <cell r="AG3659" t="str">
            <v>ЮНГ</v>
          </cell>
        </row>
        <row r="3660">
          <cell r="AG3660" t="str">
            <v>ЮНГ</v>
          </cell>
        </row>
        <row r="3661">
          <cell r="AG3661" t="str">
            <v>ЮНГ</v>
          </cell>
        </row>
        <row r="3662">
          <cell r="AG3662" t="str">
            <v>ЮНГ</v>
          </cell>
        </row>
        <row r="3663">
          <cell r="AG3663" t="str">
            <v>ЮНГ</v>
          </cell>
        </row>
        <row r="3664">
          <cell r="AG3664" t="str">
            <v>ЮНГ</v>
          </cell>
        </row>
        <row r="3665">
          <cell r="AG3665" t="str">
            <v>ЮНГ</v>
          </cell>
        </row>
        <row r="3666">
          <cell r="AG3666" t="str">
            <v>ЮНГ</v>
          </cell>
        </row>
        <row r="3667">
          <cell r="AG3667" t="str">
            <v>ЮНГ</v>
          </cell>
        </row>
        <row r="3668">
          <cell r="AG3668" t="str">
            <v>ЮНГ</v>
          </cell>
        </row>
        <row r="3669">
          <cell r="AG3669" t="str">
            <v>ЮНГ</v>
          </cell>
        </row>
        <row r="3670">
          <cell r="AG3670" t="str">
            <v>ЮНГ</v>
          </cell>
        </row>
        <row r="3671">
          <cell r="AG3671" t="str">
            <v>ЮНГ</v>
          </cell>
        </row>
        <row r="3672">
          <cell r="AG3672" t="str">
            <v>ЮНГ</v>
          </cell>
        </row>
        <row r="3673">
          <cell r="AG3673" t="str">
            <v>ЮНГ</v>
          </cell>
        </row>
        <row r="3674">
          <cell r="AG3674" t="str">
            <v>ЮНГ</v>
          </cell>
        </row>
        <row r="3675">
          <cell r="AG3675" t="str">
            <v>ЮНГ</v>
          </cell>
        </row>
        <row r="3676">
          <cell r="AG3676" t="str">
            <v>ЮНГ</v>
          </cell>
        </row>
        <row r="3677">
          <cell r="AG3677" t="str">
            <v>ЮНГ</v>
          </cell>
        </row>
        <row r="3678">
          <cell r="AG3678" t="str">
            <v>ЮНГ</v>
          </cell>
        </row>
        <row r="3679">
          <cell r="AG3679" t="str">
            <v>ЮНГ</v>
          </cell>
        </row>
        <row r="3680">
          <cell r="AG3680" t="str">
            <v>ЮНГ</v>
          </cell>
        </row>
        <row r="3681">
          <cell r="AG3681" t="str">
            <v>ЮНГ</v>
          </cell>
        </row>
        <row r="3682">
          <cell r="AG3682" t="str">
            <v>ЮНГ</v>
          </cell>
        </row>
        <row r="3683">
          <cell r="AG3683" t="str">
            <v>ЮНГ</v>
          </cell>
        </row>
        <row r="3684">
          <cell r="AG3684" t="str">
            <v>ЮНГ</v>
          </cell>
        </row>
        <row r="3685">
          <cell r="AG3685" t="str">
            <v>ЮНГ</v>
          </cell>
        </row>
        <row r="3686">
          <cell r="AG3686" t="str">
            <v>ЮНГ</v>
          </cell>
        </row>
        <row r="3687">
          <cell r="AG3687" t="str">
            <v>ЮНГ</v>
          </cell>
        </row>
        <row r="3688">
          <cell r="AG3688" t="str">
            <v>ЮНГ</v>
          </cell>
        </row>
        <row r="3689">
          <cell r="AG3689" t="str">
            <v>ЮНГ</v>
          </cell>
        </row>
        <row r="3690">
          <cell r="AG3690" t="str">
            <v>ЮНГ</v>
          </cell>
        </row>
        <row r="3691">
          <cell r="AG3691" t="str">
            <v>ЮНГ</v>
          </cell>
        </row>
        <row r="3692">
          <cell r="AG3692" t="str">
            <v>ЮНГ</v>
          </cell>
        </row>
        <row r="3693">
          <cell r="AG3693" t="str">
            <v>ЮНГ</v>
          </cell>
        </row>
        <row r="3694">
          <cell r="AG3694" t="str">
            <v>ЮНГ</v>
          </cell>
        </row>
        <row r="3695">
          <cell r="AG3695" t="str">
            <v>ЮНГ</v>
          </cell>
        </row>
        <row r="3696">
          <cell r="AG3696" t="str">
            <v>ЮНГ</v>
          </cell>
        </row>
        <row r="3697">
          <cell r="AG3697" t="str">
            <v>ЮНГ</v>
          </cell>
        </row>
        <row r="3698">
          <cell r="AG3698" t="str">
            <v>ЮНГ</v>
          </cell>
        </row>
        <row r="3699">
          <cell r="AG3699" t="str">
            <v>ЮНГ</v>
          </cell>
        </row>
        <row r="3700">
          <cell r="AG3700" t="str">
            <v>ЮНГ</v>
          </cell>
        </row>
        <row r="3701">
          <cell r="AG3701" t="str">
            <v>ЮНГ</v>
          </cell>
        </row>
        <row r="3702">
          <cell r="AG3702" t="str">
            <v>ЮНГ</v>
          </cell>
        </row>
        <row r="3703">
          <cell r="AG3703" t="str">
            <v>ЮНГ</v>
          </cell>
        </row>
        <row r="3704">
          <cell r="AG3704" t="str">
            <v>ЮНГ</v>
          </cell>
        </row>
        <row r="3705">
          <cell r="AG3705" t="str">
            <v>ЮНГ</v>
          </cell>
        </row>
        <row r="3706">
          <cell r="AG3706" t="str">
            <v>ЮНГ</v>
          </cell>
        </row>
        <row r="3707">
          <cell r="AG3707" t="str">
            <v>ЮНГ</v>
          </cell>
        </row>
        <row r="3708">
          <cell r="AG3708" t="str">
            <v>ЮНГ</v>
          </cell>
        </row>
        <row r="3709">
          <cell r="AG3709" t="str">
            <v>ЮНГ</v>
          </cell>
        </row>
        <row r="3710">
          <cell r="AG3710" t="str">
            <v>ЮНГ</v>
          </cell>
        </row>
        <row r="3711">
          <cell r="AG3711" t="str">
            <v>ЮНГ</v>
          </cell>
        </row>
        <row r="3712">
          <cell r="AG3712" t="str">
            <v>ЮНГ</v>
          </cell>
        </row>
        <row r="3713">
          <cell r="AG3713" t="str">
            <v>ЮНГ</v>
          </cell>
        </row>
        <row r="3714">
          <cell r="AG3714" t="str">
            <v>ЮНГ</v>
          </cell>
        </row>
        <row r="3715">
          <cell r="AG3715" t="str">
            <v>ЮНГ</v>
          </cell>
        </row>
        <row r="3716">
          <cell r="AG3716" t="str">
            <v>ЮНГ</v>
          </cell>
        </row>
        <row r="3717">
          <cell r="AG3717" t="str">
            <v>ЮНГ</v>
          </cell>
        </row>
        <row r="3718">
          <cell r="AG3718" t="str">
            <v>ЮНГ</v>
          </cell>
        </row>
        <row r="3719">
          <cell r="AG3719" t="str">
            <v>ЮНГ</v>
          </cell>
        </row>
        <row r="3720">
          <cell r="AG3720" t="str">
            <v>ЮНГ</v>
          </cell>
        </row>
        <row r="3721">
          <cell r="AG3721" t="str">
            <v>ЮНГ</v>
          </cell>
        </row>
        <row r="3722">
          <cell r="AG3722" t="str">
            <v>ЮНГ</v>
          </cell>
        </row>
        <row r="3723">
          <cell r="AG3723" t="str">
            <v>ЮНГ</v>
          </cell>
        </row>
        <row r="3724">
          <cell r="AG3724" t="str">
            <v>ЮНГ</v>
          </cell>
        </row>
        <row r="3725">
          <cell r="AG3725" t="str">
            <v>ЮНГ</v>
          </cell>
        </row>
        <row r="3726">
          <cell r="AG3726" t="str">
            <v>ЮНГ</v>
          </cell>
        </row>
        <row r="3727">
          <cell r="AG3727" t="str">
            <v>ЮНГ</v>
          </cell>
        </row>
        <row r="3728">
          <cell r="AG3728" t="str">
            <v>ЮНГ</v>
          </cell>
        </row>
        <row r="3729">
          <cell r="AG3729" t="str">
            <v>ЮНГ</v>
          </cell>
        </row>
        <row r="3730">
          <cell r="AG3730" t="str">
            <v>ЮНГ</v>
          </cell>
        </row>
        <row r="3731">
          <cell r="AG3731" t="str">
            <v>ЮНГ</v>
          </cell>
        </row>
        <row r="3732">
          <cell r="AG3732" t="str">
            <v>ЮНГ</v>
          </cell>
        </row>
        <row r="3733">
          <cell r="AG3733" t="str">
            <v>ЮНГ</v>
          </cell>
        </row>
        <row r="3734">
          <cell r="AG3734" t="str">
            <v>ЮНГ</v>
          </cell>
        </row>
        <row r="3735">
          <cell r="AG3735" t="str">
            <v>ЮНГ</v>
          </cell>
        </row>
        <row r="3736">
          <cell r="AG3736" t="str">
            <v>ЮНГ</v>
          </cell>
        </row>
        <row r="3737">
          <cell r="AG3737" t="str">
            <v>ЮНГ</v>
          </cell>
        </row>
        <row r="3738">
          <cell r="AG3738" t="str">
            <v>ЮНГ</v>
          </cell>
        </row>
        <row r="3739">
          <cell r="AG3739" t="str">
            <v>ЮНГ</v>
          </cell>
        </row>
        <row r="3740">
          <cell r="AG3740" t="str">
            <v>ЮНГ</v>
          </cell>
        </row>
        <row r="3741">
          <cell r="AG3741" t="str">
            <v>ЮНГ</v>
          </cell>
        </row>
        <row r="3742">
          <cell r="AG3742" t="str">
            <v>ЮНГ</v>
          </cell>
        </row>
        <row r="3743">
          <cell r="AG3743" t="str">
            <v>ЮНГ</v>
          </cell>
        </row>
        <row r="3744">
          <cell r="AG3744" t="str">
            <v>ЮНГ</v>
          </cell>
        </row>
        <row r="3745">
          <cell r="AG3745" t="str">
            <v>ЮНГ</v>
          </cell>
        </row>
        <row r="3746">
          <cell r="AG3746" t="str">
            <v>ЮНГ</v>
          </cell>
        </row>
        <row r="3747">
          <cell r="AG3747" t="str">
            <v>ЮНГ</v>
          </cell>
        </row>
        <row r="3748">
          <cell r="AG3748" t="str">
            <v>ЮНГ</v>
          </cell>
        </row>
        <row r="3749">
          <cell r="AG3749" t="str">
            <v>ЮНГ</v>
          </cell>
        </row>
        <row r="3750">
          <cell r="AG3750" t="str">
            <v>ЮНГ</v>
          </cell>
        </row>
        <row r="3751">
          <cell r="AG3751" t="str">
            <v>ЮНГ</v>
          </cell>
        </row>
        <row r="3752">
          <cell r="AG3752" t="str">
            <v>ЮНГ</v>
          </cell>
        </row>
        <row r="3753">
          <cell r="AG3753" t="str">
            <v>ЮНГ</v>
          </cell>
        </row>
        <row r="3754">
          <cell r="AG3754" t="str">
            <v>ЮНГ</v>
          </cell>
        </row>
        <row r="3755">
          <cell r="AG3755" t="str">
            <v>ЮНГ</v>
          </cell>
        </row>
        <row r="3756">
          <cell r="AG3756" t="str">
            <v>ЮНГ</v>
          </cell>
        </row>
        <row r="3757">
          <cell r="AG3757" t="str">
            <v>ЮНГ</v>
          </cell>
        </row>
        <row r="3758">
          <cell r="AG3758" t="str">
            <v>ЮНГ</v>
          </cell>
        </row>
        <row r="3759">
          <cell r="AG3759" t="str">
            <v>ЮНГ</v>
          </cell>
        </row>
        <row r="3760">
          <cell r="AG3760" t="str">
            <v>ЮНГ</v>
          </cell>
        </row>
        <row r="3761">
          <cell r="AG3761" t="str">
            <v>ЮНГ</v>
          </cell>
        </row>
        <row r="3762">
          <cell r="AG3762" t="str">
            <v>ЮНГ</v>
          </cell>
        </row>
        <row r="3763">
          <cell r="AG3763" t="str">
            <v>ЮНГ</v>
          </cell>
        </row>
        <row r="3764">
          <cell r="AG3764" t="str">
            <v>ЮНГ</v>
          </cell>
        </row>
        <row r="3765">
          <cell r="AG3765" t="str">
            <v>ЮНГ</v>
          </cell>
        </row>
        <row r="3766">
          <cell r="AG3766" t="str">
            <v>ЮНГ</v>
          </cell>
        </row>
        <row r="3767">
          <cell r="AG3767" t="str">
            <v>ЮНГ</v>
          </cell>
        </row>
        <row r="3768">
          <cell r="AG3768" t="str">
            <v>ЮНГ</v>
          </cell>
        </row>
        <row r="3769">
          <cell r="AG3769" t="str">
            <v>ЮНГ</v>
          </cell>
        </row>
        <row r="3770">
          <cell r="AG3770" t="str">
            <v>ЮНГ</v>
          </cell>
        </row>
        <row r="3771">
          <cell r="AG3771" t="str">
            <v>ЮНГ</v>
          </cell>
        </row>
        <row r="3772">
          <cell r="AG3772" t="str">
            <v>ЮНГ</v>
          </cell>
        </row>
        <row r="3773">
          <cell r="AG3773" t="str">
            <v>ЮНГ</v>
          </cell>
        </row>
        <row r="3774">
          <cell r="AG3774" t="str">
            <v>ЮНГ</v>
          </cell>
        </row>
        <row r="3775">
          <cell r="AG3775" t="str">
            <v>ЮНГ</v>
          </cell>
        </row>
        <row r="3776">
          <cell r="AG3776" t="str">
            <v>ЮНГ</v>
          </cell>
        </row>
        <row r="3777">
          <cell r="AG3777" t="str">
            <v>ЮНГ</v>
          </cell>
        </row>
        <row r="3778">
          <cell r="AG3778" t="str">
            <v>ЮНГ</v>
          </cell>
        </row>
        <row r="3779">
          <cell r="AG3779" t="str">
            <v>ЮНГ</v>
          </cell>
        </row>
        <row r="3780">
          <cell r="AG3780" t="str">
            <v>ЮНГ</v>
          </cell>
        </row>
        <row r="3781">
          <cell r="AG3781" t="str">
            <v>ЮНГ</v>
          </cell>
        </row>
        <row r="3782">
          <cell r="AG3782" t="str">
            <v>ЮНГ</v>
          </cell>
        </row>
        <row r="3783">
          <cell r="AG3783" t="str">
            <v>ЮНГ</v>
          </cell>
        </row>
        <row r="3784">
          <cell r="AG3784" t="str">
            <v>ЮНГ</v>
          </cell>
        </row>
        <row r="3785">
          <cell r="AG3785" t="str">
            <v>ЮНГ</v>
          </cell>
        </row>
        <row r="3786">
          <cell r="AG3786" t="str">
            <v>ЮНГ</v>
          </cell>
        </row>
        <row r="3787">
          <cell r="AG3787" t="str">
            <v>ЮНГ</v>
          </cell>
        </row>
        <row r="3788">
          <cell r="AG3788" t="str">
            <v>ЮНГ</v>
          </cell>
        </row>
        <row r="3789">
          <cell r="AG3789" t="str">
            <v>ЮНГ</v>
          </cell>
        </row>
        <row r="3790">
          <cell r="AG3790" t="str">
            <v>ЮНГ</v>
          </cell>
        </row>
        <row r="3791">
          <cell r="AG3791" t="str">
            <v>ЮНГ</v>
          </cell>
        </row>
        <row r="3792">
          <cell r="AG3792" t="str">
            <v>ЮНГ</v>
          </cell>
        </row>
        <row r="3793">
          <cell r="AG3793" t="str">
            <v>ЮНГ</v>
          </cell>
        </row>
        <row r="3794">
          <cell r="AG3794" t="str">
            <v>ЮНГ</v>
          </cell>
        </row>
        <row r="3795">
          <cell r="AG3795" t="str">
            <v>ЮНГ</v>
          </cell>
        </row>
        <row r="3796">
          <cell r="AG3796" t="str">
            <v>ЮНГ</v>
          </cell>
        </row>
        <row r="3797">
          <cell r="AG3797" t="str">
            <v>ЮНГ</v>
          </cell>
        </row>
        <row r="3798">
          <cell r="AG3798" t="str">
            <v>ЮНГ</v>
          </cell>
        </row>
        <row r="3799">
          <cell r="AG3799" t="str">
            <v>ЮНГ</v>
          </cell>
        </row>
        <row r="3800">
          <cell r="AG3800" t="str">
            <v>ЮНГ</v>
          </cell>
        </row>
        <row r="3801">
          <cell r="AG3801" t="str">
            <v>ЮНГ</v>
          </cell>
        </row>
        <row r="3802">
          <cell r="AG3802" t="str">
            <v>ЮНГ</v>
          </cell>
        </row>
        <row r="3803">
          <cell r="AG3803" t="str">
            <v>ЮНГ</v>
          </cell>
        </row>
        <row r="3804">
          <cell r="AG3804" t="str">
            <v>ЮНГ</v>
          </cell>
        </row>
        <row r="3805">
          <cell r="AG3805" t="str">
            <v>ЮНГ</v>
          </cell>
        </row>
        <row r="3806">
          <cell r="AG3806" t="str">
            <v>ЮНГ</v>
          </cell>
        </row>
        <row r="3807">
          <cell r="AG3807" t="str">
            <v>ЮНГ</v>
          </cell>
        </row>
        <row r="3808">
          <cell r="AG3808" t="str">
            <v>ЮНГ</v>
          </cell>
        </row>
        <row r="3809">
          <cell r="AG3809" t="str">
            <v>ЮНГ</v>
          </cell>
        </row>
        <row r="3810">
          <cell r="AG3810" t="str">
            <v>ЮНГ</v>
          </cell>
        </row>
        <row r="3811">
          <cell r="AG3811" t="str">
            <v>ЮНГ</v>
          </cell>
        </row>
        <row r="3812">
          <cell r="AG3812" t="str">
            <v>ЮНГ</v>
          </cell>
        </row>
        <row r="3813">
          <cell r="AG3813" t="str">
            <v>ЮНГ</v>
          </cell>
        </row>
        <row r="3814">
          <cell r="AG3814" t="str">
            <v>ЮНГ</v>
          </cell>
        </row>
        <row r="3815">
          <cell r="AG3815" t="str">
            <v>ЮНГ</v>
          </cell>
        </row>
        <row r="3816">
          <cell r="AG3816" t="str">
            <v>ЮНГ</v>
          </cell>
        </row>
        <row r="3817">
          <cell r="AG3817" t="str">
            <v>ЮНГ</v>
          </cell>
        </row>
        <row r="3818">
          <cell r="AG3818" t="str">
            <v>ЮНГ</v>
          </cell>
        </row>
        <row r="3819">
          <cell r="AG3819" t="str">
            <v>ЮНГ</v>
          </cell>
        </row>
        <row r="3820">
          <cell r="AG3820" t="str">
            <v>ЮНГ</v>
          </cell>
        </row>
        <row r="3821">
          <cell r="AG3821" t="str">
            <v>ЮНГ</v>
          </cell>
        </row>
        <row r="3822">
          <cell r="AG3822" t="str">
            <v>ЮНГ</v>
          </cell>
        </row>
        <row r="3823">
          <cell r="AG3823" t="str">
            <v>ЮНГ</v>
          </cell>
        </row>
        <row r="3824">
          <cell r="AG3824" t="str">
            <v>ЮНГ</v>
          </cell>
        </row>
        <row r="3825">
          <cell r="AG3825" t="str">
            <v>ЮНГ</v>
          </cell>
        </row>
        <row r="3826">
          <cell r="AG3826" t="str">
            <v>ЮНГ</v>
          </cell>
        </row>
        <row r="3827">
          <cell r="AG3827" t="str">
            <v>ЮНГ</v>
          </cell>
        </row>
        <row r="3828">
          <cell r="AG3828" t="str">
            <v>ЮНГ</v>
          </cell>
        </row>
        <row r="3829">
          <cell r="AG3829" t="str">
            <v>ЮНГ</v>
          </cell>
        </row>
        <row r="3830">
          <cell r="AG3830" t="str">
            <v>ЮНГ</v>
          </cell>
        </row>
        <row r="3831">
          <cell r="AG3831" t="str">
            <v>ЮНГ</v>
          </cell>
        </row>
        <row r="3832">
          <cell r="AG3832" t="str">
            <v>ЮНГ</v>
          </cell>
        </row>
        <row r="3833">
          <cell r="AG3833" t="str">
            <v>ЮНГ</v>
          </cell>
        </row>
        <row r="3834">
          <cell r="AG3834" t="str">
            <v>ЮНГ</v>
          </cell>
        </row>
        <row r="3835">
          <cell r="AG3835" t="str">
            <v>ЮНГ</v>
          </cell>
        </row>
        <row r="3836">
          <cell r="AG3836" t="str">
            <v>ЮНГ</v>
          </cell>
        </row>
        <row r="3837">
          <cell r="AG3837" t="str">
            <v>ЮНГ</v>
          </cell>
        </row>
        <row r="3838">
          <cell r="AG3838" t="str">
            <v>ЮНГ</v>
          </cell>
        </row>
        <row r="3839">
          <cell r="AG3839" t="str">
            <v>ЮНГ</v>
          </cell>
        </row>
        <row r="3840">
          <cell r="AG3840" t="str">
            <v>ЮНГ</v>
          </cell>
        </row>
        <row r="3841">
          <cell r="AG3841" t="str">
            <v>ЮНГ</v>
          </cell>
        </row>
        <row r="3842">
          <cell r="AG3842" t="str">
            <v>ЮНГ</v>
          </cell>
        </row>
        <row r="3843">
          <cell r="AG3843" t="str">
            <v>ЮНГ</v>
          </cell>
        </row>
        <row r="3844">
          <cell r="AG3844" t="str">
            <v>ЮНГ</v>
          </cell>
        </row>
        <row r="3845">
          <cell r="AG3845" t="str">
            <v>ЮНГ</v>
          </cell>
        </row>
        <row r="3846">
          <cell r="AG3846" t="str">
            <v>ЮНГ</v>
          </cell>
        </row>
        <row r="3847">
          <cell r="AG3847" t="str">
            <v>ЮНГ</v>
          </cell>
        </row>
        <row r="3848">
          <cell r="AG3848" t="str">
            <v>ЮНГ</v>
          </cell>
        </row>
        <row r="3849">
          <cell r="AG3849" t="str">
            <v>ЮНГ</v>
          </cell>
        </row>
        <row r="3850">
          <cell r="AG3850" t="str">
            <v>ЮНГ</v>
          </cell>
        </row>
        <row r="3851">
          <cell r="AG3851" t="str">
            <v>ЮНГ</v>
          </cell>
        </row>
        <row r="3852">
          <cell r="AG3852" t="str">
            <v>ЮНГ</v>
          </cell>
        </row>
        <row r="3853">
          <cell r="AG3853" t="str">
            <v>ЮНГ</v>
          </cell>
        </row>
        <row r="3854">
          <cell r="AG3854" t="str">
            <v>ЮНГ</v>
          </cell>
        </row>
        <row r="3855">
          <cell r="AG3855" t="str">
            <v>ЮНГ</v>
          </cell>
        </row>
        <row r="3856">
          <cell r="AG3856" t="str">
            <v>ЮНГ</v>
          </cell>
        </row>
        <row r="3857">
          <cell r="AG3857" t="str">
            <v>ЮНГ</v>
          </cell>
        </row>
        <row r="3858">
          <cell r="AG3858" t="str">
            <v>ЮНГ</v>
          </cell>
        </row>
        <row r="3859">
          <cell r="AG3859" t="str">
            <v>ЮНГ</v>
          </cell>
        </row>
        <row r="3860">
          <cell r="AG3860" t="str">
            <v>ЮНГ</v>
          </cell>
        </row>
        <row r="3861">
          <cell r="AG3861" t="str">
            <v>ЮНГ</v>
          </cell>
        </row>
        <row r="3862">
          <cell r="AG3862" t="str">
            <v>ЮНГ</v>
          </cell>
        </row>
        <row r="3863">
          <cell r="AG3863" t="str">
            <v>ЮНГ</v>
          </cell>
        </row>
        <row r="3864">
          <cell r="AG3864" t="str">
            <v>ЮНГ</v>
          </cell>
        </row>
        <row r="3865">
          <cell r="AG3865" t="str">
            <v>ЮНГ</v>
          </cell>
        </row>
        <row r="3866">
          <cell r="AG3866" t="str">
            <v>ЮНГ</v>
          </cell>
        </row>
        <row r="3867">
          <cell r="AG3867" t="str">
            <v>ЮНГ</v>
          </cell>
        </row>
        <row r="3868">
          <cell r="AG3868" t="str">
            <v>ЮНГ</v>
          </cell>
        </row>
        <row r="3869">
          <cell r="AG3869" t="str">
            <v>ЮНГ</v>
          </cell>
        </row>
        <row r="3870">
          <cell r="AG3870" t="str">
            <v>ЮНГ</v>
          </cell>
        </row>
        <row r="3871">
          <cell r="AG3871" t="str">
            <v>ЮНГ</v>
          </cell>
        </row>
        <row r="3872">
          <cell r="AG3872" t="str">
            <v>ЮНГ</v>
          </cell>
        </row>
        <row r="3873">
          <cell r="AG3873" t="str">
            <v>ЮНГ</v>
          </cell>
        </row>
        <row r="3874">
          <cell r="AG3874" t="str">
            <v>ЮНГ</v>
          </cell>
        </row>
        <row r="3875">
          <cell r="AG3875" t="str">
            <v>ЮНГ</v>
          </cell>
        </row>
        <row r="3876">
          <cell r="AG3876" t="str">
            <v>ЮНГ</v>
          </cell>
        </row>
        <row r="3877">
          <cell r="AG3877" t="str">
            <v>ЮНГ</v>
          </cell>
        </row>
        <row r="3878">
          <cell r="AG3878" t="str">
            <v>ЮНГ</v>
          </cell>
        </row>
        <row r="3879">
          <cell r="AG3879" t="str">
            <v>ЮНГ</v>
          </cell>
        </row>
        <row r="3880">
          <cell r="AG3880" t="str">
            <v>ЮНГ</v>
          </cell>
        </row>
        <row r="3881">
          <cell r="AG3881" t="str">
            <v>ЮНГ</v>
          </cell>
        </row>
        <row r="3882">
          <cell r="AG3882" t="str">
            <v>ЮНГ</v>
          </cell>
        </row>
        <row r="3883">
          <cell r="AG3883" t="str">
            <v>ЮНГ</v>
          </cell>
        </row>
        <row r="3884">
          <cell r="AG3884" t="str">
            <v>ЮНГ</v>
          </cell>
        </row>
        <row r="3885">
          <cell r="AG3885" t="str">
            <v>ЮНГ</v>
          </cell>
        </row>
        <row r="3886">
          <cell r="AG3886" t="str">
            <v>ЮНГ</v>
          </cell>
        </row>
        <row r="3887">
          <cell r="AG3887" t="str">
            <v>ЮНГ</v>
          </cell>
        </row>
        <row r="3888">
          <cell r="AG3888" t="str">
            <v>ЮНГ</v>
          </cell>
        </row>
        <row r="3889">
          <cell r="AG3889" t="str">
            <v>ЮНГ</v>
          </cell>
        </row>
        <row r="3890">
          <cell r="AG3890" t="str">
            <v>ЮНГ</v>
          </cell>
        </row>
        <row r="3891">
          <cell r="AG3891" t="str">
            <v>ЮНГ</v>
          </cell>
        </row>
        <row r="3892">
          <cell r="AG3892" t="str">
            <v>ЮНГ</v>
          </cell>
        </row>
        <row r="3893">
          <cell r="AG3893" t="str">
            <v>ЮНГ</v>
          </cell>
        </row>
        <row r="3894">
          <cell r="AG3894" t="str">
            <v>ЮНГ</v>
          </cell>
        </row>
        <row r="3895">
          <cell r="AG3895" t="str">
            <v>ЮНГ</v>
          </cell>
        </row>
        <row r="3896">
          <cell r="AG3896" t="str">
            <v>ЮНГ</v>
          </cell>
        </row>
        <row r="3897">
          <cell r="AG3897" t="str">
            <v>ЮНГ</v>
          </cell>
        </row>
        <row r="3898">
          <cell r="AG3898" t="str">
            <v>ЮНГ</v>
          </cell>
        </row>
        <row r="3899">
          <cell r="AG3899" t="str">
            <v>ЮНГ</v>
          </cell>
        </row>
        <row r="3900">
          <cell r="AG3900" t="str">
            <v>ЮНГ</v>
          </cell>
        </row>
        <row r="3901">
          <cell r="AG3901" t="str">
            <v>ЮНГ</v>
          </cell>
        </row>
        <row r="3902">
          <cell r="AG3902" t="str">
            <v>ЮНГ</v>
          </cell>
        </row>
        <row r="3903">
          <cell r="AG3903" t="str">
            <v>ЮНГ</v>
          </cell>
        </row>
        <row r="3904">
          <cell r="AG3904" t="str">
            <v>ЮНГ</v>
          </cell>
        </row>
        <row r="3905">
          <cell r="AG3905" t="str">
            <v>ЮНГ</v>
          </cell>
        </row>
        <row r="3906">
          <cell r="AG3906" t="str">
            <v>ЮНГ</v>
          </cell>
        </row>
        <row r="3907">
          <cell r="AG3907" t="str">
            <v>ЮНГ</v>
          </cell>
        </row>
        <row r="3908">
          <cell r="AG3908" t="str">
            <v>ЮНГ</v>
          </cell>
        </row>
        <row r="3909">
          <cell r="AG3909" t="str">
            <v>ЮНГ</v>
          </cell>
        </row>
        <row r="3910">
          <cell r="AG3910" t="str">
            <v>ЮНГ</v>
          </cell>
        </row>
        <row r="3911">
          <cell r="AG3911" t="str">
            <v>ЮНГ</v>
          </cell>
        </row>
        <row r="3912">
          <cell r="AG3912" t="str">
            <v>ЮНГ</v>
          </cell>
        </row>
        <row r="3913">
          <cell r="AG3913" t="str">
            <v>ЮНГ</v>
          </cell>
        </row>
        <row r="3914">
          <cell r="AG3914" t="str">
            <v>ЮНГ</v>
          </cell>
        </row>
        <row r="3915">
          <cell r="AG3915" t="str">
            <v>ЮНГ</v>
          </cell>
        </row>
        <row r="3916">
          <cell r="AG3916" t="str">
            <v>ЮНГ</v>
          </cell>
        </row>
        <row r="3917">
          <cell r="AG3917" t="str">
            <v>ЮНГ</v>
          </cell>
        </row>
        <row r="3918">
          <cell r="AG3918" t="str">
            <v>ЮНГ</v>
          </cell>
        </row>
        <row r="3919">
          <cell r="AG3919" t="str">
            <v>ЮНГ</v>
          </cell>
        </row>
        <row r="3920">
          <cell r="AG3920" t="str">
            <v>ЮНГ</v>
          </cell>
        </row>
        <row r="3921">
          <cell r="AG3921" t="str">
            <v>ЮНГ</v>
          </cell>
        </row>
        <row r="3922">
          <cell r="AG3922" t="str">
            <v>ЮНГ</v>
          </cell>
        </row>
        <row r="3923">
          <cell r="AG3923" t="str">
            <v>ЮНГ</v>
          </cell>
        </row>
        <row r="3924">
          <cell r="AG3924" t="str">
            <v>ЮНГ</v>
          </cell>
        </row>
        <row r="3925">
          <cell r="AG3925" t="str">
            <v>ЮНГ</v>
          </cell>
        </row>
        <row r="3926">
          <cell r="AG3926" t="str">
            <v>ЮНГ</v>
          </cell>
        </row>
        <row r="3927">
          <cell r="AG3927" t="str">
            <v>ЮНГ</v>
          </cell>
        </row>
        <row r="3928">
          <cell r="AG3928" t="str">
            <v>ЮНГ</v>
          </cell>
        </row>
        <row r="3929">
          <cell r="AG3929" t="str">
            <v>ЮНГ</v>
          </cell>
        </row>
        <row r="3930">
          <cell r="AG3930" t="str">
            <v>ЮНГ</v>
          </cell>
        </row>
        <row r="3931">
          <cell r="AG3931" t="str">
            <v>ЮНГ</v>
          </cell>
        </row>
        <row r="3932">
          <cell r="AG3932" t="str">
            <v>ЮНГ</v>
          </cell>
        </row>
        <row r="3933">
          <cell r="AG3933" t="str">
            <v>ЮНГ</v>
          </cell>
        </row>
        <row r="3934">
          <cell r="AG3934" t="str">
            <v>ЮНГ</v>
          </cell>
        </row>
        <row r="3935">
          <cell r="AG3935" t="str">
            <v>ЮНГ</v>
          </cell>
        </row>
        <row r="3936">
          <cell r="AG3936" t="str">
            <v>ЮНГ</v>
          </cell>
        </row>
        <row r="3937">
          <cell r="AG3937" t="str">
            <v>ЮНГ</v>
          </cell>
        </row>
        <row r="3938">
          <cell r="AG3938" t="str">
            <v>ЮНГ</v>
          </cell>
        </row>
        <row r="3939">
          <cell r="AG3939" t="str">
            <v>ЮНГ</v>
          </cell>
        </row>
        <row r="3940">
          <cell r="AG3940" t="str">
            <v>ЮНГ</v>
          </cell>
        </row>
        <row r="3941">
          <cell r="AG3941" t="str">
            <v>ЮНГ</v>
          </cell>
        </row>
        <row r="3942">
          <cell r="AG3942" t="str">
            <v>ЮНГ</v>
          </cell>
        </row>
        <row r="3943">
          <cell r="AG3943" t="str">
            <v>ЮНГ</v>
          </cell>
        </row>
        <row r="3944">
          <cell r="AG3944" t="str">
            <v>ЮНГ</v>
          </cell>
        </row>
        <row r="3945">
          <cell r="AG3945" t="str">
            <v>ЮНГ</v>
          </cell>
        </row>
        <row r="3946">
          <cell r="AG3946" t="str">
            <v>ЮНГ</v>
          </cell>
        </row>
        <row r="3947">
          <cell r="AG3947" t="str">
            <v>ЮНГ</v>
          </cell>
        </row>
        <row r="3948">
          <cell r="AG3948" t="str">
            <v>ЮНГ</v>
          </cell>
        </row>
        <row r="3949">
          <cell r="AG3949" t="str">
            <v>ЮНГ</v>
          </cell>
        </row>
        <row r="3950">
          <cell r="AG3950" t="str">
            <v>ЮНГ</v>
          </cell>
        </row>
        <row r="3951">
          <cell r="AG3951" t="str">
            <v>ЮНГ</v>
          </cell>
        </row>
        <row r="3952">
          <cell r="AG3952" t="str">
            <v>ЮНГ</v>
          </cell>
        </row>
        <row r="3953">
          <cell r="AG3953" t="str">
            <v>ЮНГ</v>
          </cell>
        </row>
        <row r="3954">
          <cell r="AG3954" t="str">
            <v>ЮНГ</v>
          </cell>
        </row>
        <row r="3955">
          <cell r="AG3955" t="str">
            <v>ЮНГ</v>
          </cell>
        </row>
        <row r="3956">
          <cell r="AG3956" t="str">
            <v>ЮНГ</v>
          </cell>
        </row>
        <row r="3957">
          <cell r="AG3957" t="str">
            <v>ЮНГ</v>
          </cell>
        </row>
        <row r="3958">
          <cell r="AG3958" t="str">
            <v>ЮНГ</v>
          </cell>
        </row>
        <row r="3959">
          <cell r="AG3959" t="str">
            <v>ЮНГ</v>
          </cell>
        </row>
        <row r="3960">
          <cell r="AG3960" t="str">
            <v>ЮНГ</v>
          </cell>
        </row>
        <row r="3961">
          <cell r="AG3961" t="str">
            <v>ЮНГ</v>
          </cell>
        </row>
        <row r="3962">
          <cell r="AG3962" t="str">
            <v>ЮНГ</v>
          </cell>
        </row>
        <row r="3963">
          <cell r="AG3963" t="str">
            <v>ЮНГ</v>
          </cell>
        </row>
        <row r="3964">
          <cell r="AG3964" t="str">
            <v>ЮНГ</v>
          </cell>
        </row>
        <row r="3965">
          <cell r="AG3965" t="str">
            <v>ЮНГ</v>
          </cell>
        </row>
        <row r="3966">
          <cell r="AG3966" t="str">
            <v>ЮНГ</v>
          </cell>
        </row>
        <row r="3967">
          <cell r="AG3967" t="str">
            <v>ЮНГ</v>
          </cell>
        </row>
        <row r="3968">
          <cell r="AG3968" t="str">
            <v>ЮНГ</v>
          </cell>
        </row>
        <row r="3969">
          <cell r="AG3969" t="str">
            <v>ЮНГ</v>
          </cell>
        </row>
        <row r="3970">
          <cell r="AG3970" t="str">
            <v>ЮНГ</v>
          </cell>
        </row>
        <row r="3971">
          <cell r="AG3971" t="str">
            <v>ЮНГ</v>
          </cell>
        </row>
        <row r="3972">
          <cell r="AG3972" t="str">
            <v>ЮНГ</v>
          </cell>
        </row>
        <row r="3973">
          <cell r="AG3973" t="str">
            <v>ЮНГ</v>
          </cell>
        </row>
        <row r="3974">
          <cell r="AG3974" t="str">
            <v>ЮНГ</v>
          </cell>
        </row>
        <row r="3975">
          <cell r="AG3975" t="str">
            <v>ЮНГ</v>
          </cell>
        </row>
        <row r="3976">
          <cell r="AG3976" t="str">
            <v>ЮНГ</v>
          </cell>
        </row>
        <row r="3977">
          <cell r="AG3977" t="str">
            <v>ЮНГ</v>
          </cell>
        </row>
        <row r="3978">
          <cell r="AG3978" t="str">
            <v>ЮНГ</v>
          </cell>
        </row>
        <row r="3979">
          <cell r="AG3979" t="str">
            <v>ЮНГ</v>
          </cell>
        </row>
        <row r="3980">
          <cell r="AG3980" t="str">
            <v>ЮНГ</v>
          </cell>
        </row>
        <row r="3981">
          <cell r="AG3981" t="str">
            <v>ЮНГ</v>
          </cell>
        </row>
        <row r="3982">
          <cell r="AG3982" t="str">
            <v>ЮНГ</v>
          </cell>
        </row>
        <row r="3983">
          <cell r="AG3983" t="str">
            <v>ЮНГ</v>
          </cell>
        </row>
        <row r="3984">
          <cell r="AG3984" t="str">
            <v>ЮНГ</v>
          </cell>
        </row>
        <row r="3985">
          <cell r="AG3985" t="str">
            <v>ЮНГ</v>
          </cell>
        </row>
        <row r="3986">
          <cell r="AG3986" t="str">
            <v>ЮНГ</v>
          </cell>
        </row>
        <row r="3987">
          <cell r="AG3987" t="str">
            <v>ЮНГ</v>
          </cell>
        </row>
        <row r="3988">
          <cell r="AG3988" t="str">
            <v>ЮНГ</v>
          </cell>
        </row>
        <row r="3989">
          <cell r="AG3989" t="str">
            <v>ЮНГ</v>
          </cell>
        </row>
        <row r="3990">
          <cell r="AG3990" t="str">
            <v>ЮНГ</v>
          </cell>
        </row>
        <row r="3991">
          <cell r="AG3991" t="str">
            <v>ЮНГ</v>
          </cell>
        </row>
        <row r="3992">
          <cell r="AG3992" t="str">
            <v>ЮНГ</v>
          </cell>
        </row>
        <row r="3993">
          <cell r="AG3993" t="str">
            <v>ЮНГ</v>
          </cell>
        </row>
        <row r="3994">
          <cell r="AG3994" t="str">
            <v>ЮНГ</v>
          </cell>
        </row>
        <row r="3995">
          <cell r="AG3995" t="str">
            <v>ЮНГ</v>
          </cell>
        </row>
        <row r="3996">
          <cell r="AG3996" t="str">
            <v>ЮНГ</v>
          </cell>
        </row>
        <row r="3997">
          <cell r="AG3997" t="str">
            <v>ЮНГ</v>
          </cell>
        </row>
        <row r="3998">
          <cell r="AG3998" t="str">
            <v>ЮНГ</v>
          </cell>
        </row>
        <row r="3999">
          <cell r="AG3999" t="str">
            <v>ЮНГ</v>
          </cell>
        </row>
        <row r="4000">
          <cell r="AG4000" t="str">
            <v>ЮНГ</v>
          </cell>
        </row>
        <row r="4001">
          <cell r="AG4001" t="str">
            <v>ЮНГ</v>
          </cell>
        </row>
        <row r="4002">
          <cell r="AG4002" t="str">
            <v>ЮНГ</v>
          </cell>
        </row>
        <row r="4003">
          <cell r="AG4003" t="str">
            <v>ЮНГ</v>
          </cell>
        </row>
        <row r="4004">
          <cell r="AG4004" t="str">
            <v>ЮНГ</v>
          </cell>
        </row>
        <row r="4005">
          <cell r="AG4005" t="str">
            <v>ЮНГ</v>
          </cell>
        </row>
        <row r="4006">
          <cell r="AG4006" t="str">
            <v>ЮНГ</v>
          </cell>
        </row>
        <row r="4007">
          <cell r="AG4007" t="str">
            <v>ЮНГ</v>
          </cell>
        </row>
        <row r="4008">
          <cell r="AG4008" t="str">
            <v>ЮНГ</v>
          </cell>
        </row>
        <row r="4009">
          <cell r="AG4009" t="str">
            <v>ЮНГ</v>
          </cell>
        </row>
        <row r="4010">
          <cell r="AG4010" t="str">
            <v>ЮНГ</v>
          </cell>
        </row>
        <row r="4011">
          <cell r="AG4011" t="str">
            <v>ЮНГ</v>
          </cell>
        </row>
        <row r="4012">
          <cell r="AG4012" t="str">
            <v>ЮНГ</v>
          </cell>
        </row>
        <row r="4013">
          <cell r="AG4013" t="str">
            <v>ЮНГ</v>
          </cell>
        </row>
        <row r="4014">
          <cell r="AG4014" t="str">
            <v>ЮНГ</v>
          </cell>
        </row>
        <row r="4015">
          <cell r="AG4015" t="str">
            <v>ЮНГ</v>
          </cell>
        </row>
        <row r="4016">
          <cell r="AG4016" t="str">
            <v>ЮНГ</v>
          </cell>
        </row>
        <row r="4017">
          <cell r="AG4017" t="str">
            <v>ЮНГ</v>
          </cell>
        </row>
        <row r="4018">
          <cell r="AG4018" t="str">
            <v>ЮНГ</v>
          </cell>
        </row>
        <row r="4019">
          <cell r="AG4019" t="str">
            <v>ЮНГ</v>
          </cell>
        </row>
        <row r="4020">
          <cell r="AG4020" t="str">
            <v>ЮНГ</v>
          </cell>
        </row>
        <row r="4021">
          <cell r="AG4021" t="str">
            <v>ЮНГ</v>
          </cell>
        </row>
        <row r="4022">
          <cell r="AG4022" t="str">
            <v>ЮНГ</v>
          </cell>
        </row>
        <row r="4023">
          <cell r="AG4023" t="str">
            <v>ЮНГ</v>
          </cell>
        </row>
        <row r="4024">
          <cell r="AG4024" t="str">
            <v>ЮНГ</v>
          </cell>
        </row>
        <row r="4025">
          <cell r="AG4025" t="str">
            <v>ЮНГ</v>
          </cell>
        </row>
        <row r="4026">
          <cell r="AG4026" t="str">
            <v>ЮНГ</v>
          </cell>
        </row>
        <row r="4027">
          <cell r="AG4027" t="str">
            <v>ЮНГ</v>
          </cell>
        </row>
        <row r="4028">
          <cell r="AG4028" t="str">
            <v>ЮНГ</v>
          </cell>
        </row>
        <row r="4029">
          <cell r="AG4029" t="str">
            <v>ЮНГ</v>
          </cell>
        </row>
        <row r="4030">
          <cell r="AG4030" t="str">
            <v>ЮНГ</v>
          </cell>
        </row>
        <row r="4031">
          <cell r="AG4031" t="str">
            <v>ЮНГ</v>
          </cell>
        </row>
        <row r="4032">
          <cell r="AG4032" t="str">
            <v>ЮНГ</v>
          </cell>
        </row>
        <row r="4033">
          <cell r="AG4033" t="str">
            <v>ЮНГ</v>
          </cell>
        </row>
        <row r="4034">
          <cell r="AG4034" t="str">
            <v>ЮНГ</v>
          </cell>
        </row>
        <row r="4035">
          <cell r="AG4035" t="str">
            <v>ЮНГ</v>
          </cell>
        </row>
        <row r="4036">
          <cell r="AG4036" t="str">
            <v>ЮНГ</v>
          </cell>
        </row>
        <row r="4037">
          <cell r="AG4037" t="str">
            <v>ЮНГ</v>
          </cell>
        </row>
        <row r="4038">
          <cell r="AG4038" t="str">
            <v>ЮНГ</v>
          </cell>
        </row>
        <row r="4039">
          <cell r="AG4039" t="str">
            <v>ЮНГ</v>
          </cell>
        </row>
        <row r="4040">
          <cell r="AG4040" t="str">
            <v>ЮНГ</v>
          </cell>
        </row>
        <row r="4041">
          <cell r="AG4041" t="str">
            <v>ЮНГ</v>
          </cell>
        </row>
        <row r="4042">
          <cell r="AG4042" t="str">
            <v>ЮНГ</v>
          </cell>
        </row>
        <row r="4043">
          <cell r="AG4043" t="str">
            <v>ЮНГ</v>
          </cell>
        </row>
        <row r="4044">
          <cell r="AG4044" t="str">
            <v>ЮНГ</v>
          </cell>
        </row>
        <row r="4045">
          <cell r="AG4045" t="str">
            <v>ЮНГ</v>
          </cell>
        </row>
        <row r="4046">
          <cell r="AG4046" t="str">
            <v>ЮНГ</v>
          </cell>
        </row>
        <row r="4047">
          <cell r="AG4047" t="str">
            <v>ЮНГ</v>
          </cell>
        </row>
        <row r="4048">
          <cell r="AG4048" t="str">
            <v>ЮНГ</v>
          </cell>
        </row>
        <row r="4049">
          <cell r="AG4049" t="str">
            <v>ЮНГ</v>
          </cell>
        </row>
        <row r="4050">
          <cell r="AG4050" t="str">
            <v>ЮНГ</v>
          </cell>
        </row>
        <row r="4051">
          <cell r="AG4051" t="str">
            <v>ЮНГ</v>
          </cell>
        </row>
        <row r="4052">
          <cell r="AG4052" t="str">
            <v>ЮНГ</v>
          </cell>
        </row>
        <row r="4053">
          <cell r="AG4053" t="str">
            <v>ЮНГ</v>
          </cell>
        </row>
        <row r="4054">
          <cell r="AG4054" t="str">
            <v>ЮНГ</v>
          </cell>
        </row>
        <row r="4055">
          <cell r="AG4055" t="str">
            <v>ЮНГ</v>
          </cell>
        </row>
        <row r="4056">
          <cell r="AG4056" t="str">
            <v>ЮНГ</v>
          </cell>
        </row>
        <row r="4057">
          <cell r="AG4057" t="str">
            <v>ЮНГ</v>
          </cell>
        </row>
        <row r="4058">
          <cell r="AG4058" t="str">
            <v>ЮНГ</v>
          </cell>
        </row>
        <row r="4059">
          <cell r="AG4059" t="str">
            <v>ЮНГ</v>
          </cell>
        </row>
        <row r="4060">
          <cell r="AG4060" t="str">
            <v>ЮНГ</v>
          </cell>
        </row>
        <row r="4061">
          <cell r="AG4061" t="str">
            <v>ЮНГ</v>
          </cell>
        </row>
        <row r="4062">
          <cell r="AG4062" t="str">
            <v>ЮНГ</v>
          </cell>
        </row>
        <row r="4063">
          <cell r="AG4063" t="str">
            <v>ЮНГ</v>
          </cell>
        </row>
        <row r="4064">
          <cell r="AG4064" t="str">
            <v>ЮНГ</v>
          </cell>
        </row>
        <row r="4065">
          <cell r="AG4065" t="str">
            <v>ЮНГ</v>
          </cell>
        </row>
        <row r="4066">
          <cell r="AG4066" t="str">
            <v>ЮНГ</v>
          </cell>
        </row>
        <row r="4067">
          <cell r="AG4067" t="str">
            <v>ЮНГ</v>
          </cell>
        </row>
        <row r="4068">
          <cell r="AG4068" t="str">
            <v>ЮНГ</v>
          </cell>
        </row>
        <row r="4069">
          <cell r="AG4069" t="str">
            <v>ЮНГ</v>
          </cell>
        </row>
        <row r="4070">
          <cell r="AG4070" t="str">
            <v>ЮНГ</v>
          </cell>
        </row>
        <row r="4071">
          <cell r="AG4071" t="str">
            <v>ЮНГ</v>
          </cell>
        </row>
        <row r="4072">
          <cell r="AG4072" t="str">
            <v>ЮНГ</v>
          </cell>
        </row>
        <row r="4073">
          <cell r="AG4073" t="str">
            <v>ЮНГ</v>
          </cell>
        </row>
        <row r="4074">
          <cell r="AG4074" t="str">
            <v>ЮНГ</v>
          </cell>
        </row>
        <row r="4075">
          <cell r="AG4075" t="str">
            <v>ЮНГ</v>
          </cell>
        </row>
        <row r="4076">
          <cell r="AG4076" t="str">
            <v>ЮНГ</v>
          </cell>
        </row>
        <row r="4077">
          <cell r="AG4077" t="str">
            <v>ЮНГ</v>
          </cell>
        </row>
        <row r="4078">
          <cell r="AG4078" t="str">
            <v>ЮНГ</v>
          </cell>
        </row>
        <row r="4079">
          <cell r="AG4079" t="str">
            <v>ЮНГ</v>
          </cell>
        </row>
        <row r="4080">
          <cell r="AG4080" t="str">
            <v>ЮНГ</v>
          </cell>
        </row>
        <row r="4081">
          <cell r="AG4081" t="str">
            <v>ЮНГ</v>
          </cell>
        </row>
        <row r="4082">
          <cell r="AG4082" t="str">
            <v>ЮНГ</v>
          </cell>
        </row>
        <row r="4083">
          <cell r="AG4083" t="str">
            <v>ЮНГ</v>
          </cell>
        </row>
        <row r="4084">
          <cell r="AG4084" t="str">
            <v>ЮНГ</v>
          </cell>
        </row>
        <row r="4085">
          <cell r="AG4085" t="str">
            <v>ЮНГ</v>
          </cell>
        </row>
        <row r="4086">
          <cell r="AG4086" t="str">
            <v>ЮНГ</v>
          </cell>
        </row>
        <row r="4087">
          <cell r="AG4087" t="str">
            <v>ЮНГ</v>
          </cell>
        </row>
        <row r="4088">
          <cell r="AG4088" t="str">
            <v>ЮНГ</v>
          </cell>
        </row>
        <row r="4089">
          <cell r="AG4089" t="str">
            <v>ЮНГ</v>
          </cell>
        </row>
        <row r="4090">
          <cell r="AG4090" t="str">
            <v>ЮНГ</v>
          </cell>
        </row>
        <row r="4091">
          <cell r="AG4091" t="str">
            <v>ЮНГ</v>
          </cell>
        </row>
        <row r="4092">
          <cell r="AG4092" t="str">
            <v>ЮНГ</v>
          </cell>
        </row>
        <row r="4093">
          <cell r="AG4093" t="str">
            <v>ЮНГ</v>
          </cell>
        </row>
        <row r="4094">
          <cell r="AG4094" t="str">
            <v>ЮНГ</v>
          </cell>
        </row>
        <row r="4095">
          <cell r="AG4095" t="str">
            <v>ЮНГ</v>
          </cell>
        </row>
        <row r="4096">
          <cell r="AG4096" t="str">
            <v>ЮНГ</v>
          </cell>
        </row>
        <row r="4097">
          <cell r="AG4097" t="str">
            <v>ЮНГ</v>
          </cell>
        </row>
        <row r="4098">
          <cell r="AG4098" t="str">
            <v>ЮНГ</v>
          </cell>
        </row>
        <row r="4099">
          <cell r="AG4099" t="str">
            <v>ЮНГ</v>
          </cell>
        </row>
        <row r="4100">
          <cell r="AG4100" t="str">
            <v>ЮНГ</v>
          </cell>
        </row>
        <row r="4101">
          <cell r="AG4101" t="str">
            <v>ЮНГ</v>
          </cell>
        </row>
        <row r="4102">
          <cell r="AG4102" t="str">
            <v>ЮНГ</v>
          </cell>
        </row>
        <row r="4103">
          <cell r="AG4103" t="str">
            <v>ЮНГ</v>
          </cell>
        </row>
        <row r="4104">
          <cell r="AG4104" t="str">
            <v>ЮНГ</v>
          </cell>
        </row>
        <row r="4105">
          <cell r="AG4105" t="str">
            <v>ЮНГ</v>
          </cell>
        </row>
        <row r="4106">
          <cell r="AG4106" t="str">
            <v>ЮНГ</v>
          </cell>
        </row>
        <row r="4107">
          <cell r="AG4107" t="str">
            <v>ЮНГ</v>
          </cell>
        </row>
        <row r="4108">
          <cell r="AG4108" t="str">
            <v>ЮНГ</v>
          </cell>
        </row>
        <row r="4109">
          <cell r="AG4109" t="str">
            <v>ЮНГ</v>
          </cell>
        </row>
        <row r="4110">
          <cell r="AG4110" t="str">
            <v>ЮНГ</v>
          </cell>
        </row>
        <row r="4111">
          <cell r="AG4111" t="str">
            <v>ЮНГ</v>
          </cell>
        </row>
        <row r="4112">
          <cell r="AG4112" t="str">
            <v>ЮНГ</v>
          </cell>
        </row>
        <row r="4113">
          <cell r="AG4113" t="str">
            <v>ЮНГ</v>
          </cell>
        </row>
        <row r="4114">
          <cell r="AG4114" t="str">
            <v>ЮНГ</v>
          </cell>
        </row>
        <row r="4115">
          <cell r="AG4115" t="str">
            <v>ЮНГ</v>
          </cell>
        </row>
        <row r="4116">
          <cell r="AG4116" t="str">
            <v>ЮНГ</v>
          </cell>
        </row>
        <row r="4117">
          <cell r="AG4117" t="str">
            <v>ЮНГ</v>
          </cell>
        </row>
        <row r="4118">
          <cell r="AG4118" t="str">
            <v>ЮНГ</v>
          </cell>
        </row>
        <row r="4119">
          <cell r="AG4119" t="str">
            <v>ЮНГ</v>
          </cell>
        </row>
        <row r="4120">
          <cell r="AG4120" t="str">
            <v>ЮНГ</v>
          </cell>
        </row>
        <row r="4121">
          <cell r="AG4121" t="str">
            <v>ЮНГ</v>
          </cell>
        </row>
        <row r="4122">
          <cell r="AG4122" t="str">
            <v>ЮНГ</v>
          </cell>
        </row>
        <row r="4123">
          <cell r="AG4123" t="str">
            <v>ЮНГ</v>
          </cell>
        </row>
        <row r="4124">
          <cell r="AG4124" t="str">
            <v>ЮНГ</v>
          </cell>
        </row>
        <row r="4125">
          <cell r="AG4125" t="str">
            <v>ЮНГ</v>
          </cell>
        </row>
        <row r="4126">
          <cell r="AG4126" t="str">
            <v>ЮНГ</v>
          </cell>
        </row>
        <row r="4127">
          <cell r="AG4127" t="str">
            <v>ЮНГ</v>
          </cell>
        </row>
        <row r="4128">
          <cell r="AG4128" t="str">
            <v>ЮНГ</v>
          </cell>
        </row>
        <row r="4129">
          <cell r="AG4129" t="str">
            <v>ЮНГ</v>
          </cell>
        </row>
        <row r="4130">
          <cell r="AG4130" t="str">
            <v>ЮНГ</v>
          </cell>
        </row>
        <row r="4131">
          <cell r="AG4131" t="str">
            <v>ЮНГ</v>
          </cell>
        </row>
        <row r="4132">
          <cell r="AG4132" t="str">
            <v>ЮНГ</v>
          </cell>
        </row>
        <row r="4133">
          <cell r="AG4133" t="str">
            <v>ЮНГ</v>
          </cell>
        </row>
        <row r="4134">
          <cell r="AG4134" t="str">
            <v>ЮНГ</v>
          </cell>
        </row>
        <row r="4135">
          <cell r="AG4135" t="str">
            <v>ЮНГ</v>
          </cell>
        </row>
        <row r="4136">
          <cell r="AG4136" t="str">
            <v>ЮНГ</v>
          </cell>
        </row>
        <row r="4137">
          <cell r="AG4137" t="str">
            <v>ЮНГ</v>
          </cell>
        </row>
        <row r="4138">
          <cell r="AG4138" t="str">
            <v>ЮНГ</v>
          </cell>
        </row>
        <row r="4139">
          <cell r="AG4139" t="str">
            <v>ЮНГ</v>
          </cell>
        </row>
        <row r="4140">
          <cell r="AG4140" t="str">
            <v>ЮНГ</v>
          </cell>
        </row>
        <row r="4141">
          <cell r="AG4141" t="str">
            <v>ЮНГ</v>
          </cell>
        </row>
        <row r="4142">
          <cell r="AG4142" t="str">
            <v>ЮНГ</v>
          </cell>
        </row>
        <row r="4143">
          <cell r="AG4143" t="str">
            <v>ЮНГ</v>
          </cell>
        </row>
        <row r="4144">
          <cell r="AG4144" t="str">
            <v>ЮНГ</v>
          </cell>
        </row>
        <row r="4145">
          <cell r="AG4145" t="str">
            <v>ЮНГ</v>
          </cell>
        </row>
        <row r="4146">
          <cell r="AG4146" t="str">
            <v>ЮНГ</v>
          </cell>
        </row>
        <row r="4147">
          <cell r="AG4147" t="str">
            <v>ЮНГ</v>
          </cell>
        </row>
        <row r="4148">
          <cell r="AG4148" t="str">
            <v>ЮНГ</v>
          </cell>
        </row>
        <row r="4149">
          <cell r="AG4149" t="str">
            <v>ЮНГ</v>
          </cell>
        </row>
        <row r="4150">
          <cell r="AG4150" t="str">
            <v>ЮНГ</v>
          </cell>
        </row>
        <row r="4151">
          <cell r="AG4151" t="str">
            <v>ЮНГ</v>
          </cell>
        </row>
        <row r="4152">
          <cell r="AG4152" t="str">
            <v>ЮНГ</v>
          </cell>
        </row>
        <row r="4153">
          <cell r="AG4153" t="str">
            <v>ЮНГ</v>
          </cell>
        </row>
        <row r="4154">
          <cell r="AG4154" t="str">
            <v>ЮНГ</v>
          </cell>
        </row>
        <row r="4155">
          <cell r="AG4155" t="str">
            <v>ЮНГ</v>
          </cell>
        </row>
        <row r="4156">
          <cell r="AG4156" t="str">
            <v>ЮНГ</v>
          </cell>
        </row>
        <row r="4157">
          <cell r="AG4157" t="str">
            <v>ЮНГ</v>
          </cell>
        </row>
        <row r="4158">
          <cell r="AG4158" t="str">
            <v>ЮНГ</v>
          </cell>
        </row>
        <row r="4159">
          <cell r="AG4159" t="str">
            <v>ЮНГ</v>
          </cell>
        </row>
        <row r="4160">
          <cell r="AG4160" t="str">
            <v>ЮНГ</v>
          </cell>
        </row>
        <row r="4161">
          <cell r="AG4161" t="str">
            <v>ЮНГ</v>
          </cell>
        </row>
        <row r="4162">
          <cell r="AG4162" t="str">
            <v>ЮНГ</v>
          </cell>
        </row>
        <row r="4163">
          <cell r="AG4163" t="str">
            <v>ЮНГ</v>
          </cell>
        </row>
        <row r="4164">
          <cell r="AG4164" t="str">
            <v>ЮНГ</v>
          </cell>
        </row>
        <row r="4165">
          <cell r="AG4165" t="str">
            <v>ЮНГ</v>
          </cell>
        </row>
        <row r="4166">
          <cell r="AG4166" t="str">
            <v>ЮНГ</v>
          </cell>
        </row>
        <row r="4167">
          <cell r="AG4167" t="str">
            <v>ЮНГ</v>
          </cell>
        </row>
        <row r="4168">
          <cell r="AG4168" t="str">
            <v>ЮНГ</v>
          </cell>
        </row>
        <row r="4169">
          <cell r="AG4169" t="str">
            <v>ЮНГ</v>
          </cell>
        </row>
        <row r="4170">
          <cell r="AG4170" t="str">
            <v>ЮНГ</v>
          </cell>
        </row>
        <row r="4171">
          <cell r="AG4171" t="str">
            <v>ЮНГ</v>
          </cell>
        </row>
        <row r="4172">
          <cell r="AG4172" t="str">
            <v>ЮНГ</v>
          </cell>
        </row>
        <row r="4173">
          <cell r="AG4173" t="str">
            <v>ЮНГ</v>
          </cell>
        </row>
        <row r="4174">
          <cell r="AG4174" t="str">
            <v>ЮНГ</v>
          </cell>
        </row>
        <row r="4175">
          <cell r="AG4175" t="str">
            <v>ЮНГ</v>
          </cell>
        </row>
        <row r="4176">
          <cell r="AG4176" t="str">
            <v>ЮНГ</v>
          </cell>
        </row>
        <row r="4177">
          <cell r="AG4177" t="str">
            <v>ЮНГ</v>
          </cell>
        </row>
        <row r="4178">
          <cell r="AG4178" t="str">
            <v>ЮНГ</v>
          </cell>
        </row>
        <row r="4179">
          <cell r="AG4179" t="str">
            <v>ЮНГ</v>
          </cell>
        </row>
        <row r="4180">
          <cell r="AG4180" t="str">
            <v>ЮНГ</v>
          </cell>
        </row>
        <row r="4181">
          <cell r="AG4181" t="str">
            <v>ЮНГ</v>
          </cell>
        </row>
        <row r="4182">
          <cell r="AG4182" t="str">
            <v>ЮНГ</v>
          </cell>
        </row>
        <row r="4183">
          <cell r="AG4183" t="str">
            <v>ЮНГ</v>
          </cell>
        </row>
        <row r="4184">
          <cell r="AG4184" t="str">
            <v>ЮНГ</v>
          </cell>
        </row>
        <row r="4185">
          <cell r="AG4185" t="str">
            <v>ЮНГ</v>
          </cell>
        </row>
        <row r="4186">
          <cell r="AG4186" t="str">
            <v>ЮНГ</v>
          </cell>
        </row>
        <row r="4187">
          <cell r="AG4187" t="str">
            <v>ЮНГ</v>
          </cell>
        </row>
        <row r="4188">
          <cell r="AG4188" t="str">
            <v>ЮНГ</v>
          </cell>
        </row>
        <row r="4189">
          <cell r="AG4189" t="str">
            <v>ЮНГ</v>
          </cell>
        </row>
        <row r="4190">
          <cell r="AG4190" t="str">
            <v>ЮНГ</v>
          </cell>
        </row>
        <row r="4191">
          <cell r="AG4191" t="str">
            <v>ЮНГ</v>
          </cell>
        </row>
        <row r="4192">
          <cell r="AG4192" t="str">
            <v>ЮНГ</v>
          </cell>
        </row>
        <row r="4193">
          <cell r="AG4193" t="str">
            <v>ЮНГ</v>
          </cell>
        </row>
        <row r="4194">
          <cell r="AG4194" t="str">
            <v>ЮНГ</v>
          </cell>
        </row>
        <row r="4195">
          <cell r="AG4195" t="str">
            <v>ЮНГ</v>
          </cell>
        </row>
        <row r="4196">
          <cell r="AG4196" t="str">
            <v>ЮНГ</v>
          </cell>
        </row>
        <row r="4197">
          <cell r="AG4197" t="str">
            <v>ЮНГ</v>
          </cell>
        </row>
        <row r="4198">
          <cell r="AG4198" t="str">
            <v>ЮНГ</v>
          </cell>
        </row>
        <row r="4199">
          <cell r="AG4199" t="str">
            <v>ЮНГ</v>
          </cell>
        </row>
        <row r="4200">
          <cell r="AG4200" t="str">
            <v>ЮНГ</v>
          </cell>
        </row>
        <row r="4201">
          <cell r="AG4201" t="str">
            <v>ЮНГ</v>
          </cell>
        </row>
        <row r="4202">
          <cell r="AG4202" t="str">
            <v>ЮНГ</v>
          </cell>
        </row>
        <row r="4203">
          <cell r="AG4203" t="str">
            <v>ЮНГ</v>
          </cell>
        </row>
        <row r="4204">
          <cell r="AG4204" t="str">
            <v>ЮНГ</v>
          </cell>
        </row>
        <row r="4205">
          <cell r="AG4205" t="str">
            <v>ЮНГ</v>
          </cell>
        </row>
        <row r="4206">
          <cell r="AG4206" t="str">
            <v>ЮНГ</v>
          </cell>
        </row>
        <row r="4207">
          <cell r="AG4207" t="str">
            <v>ЮНГ</v>
          </cell>
        </row>
        <row r="4208">
          <cell r="AG4208" t="str">
            <v>ЮНГ</v>
          </cell>
        </row>
        <row r="4209">
          <cell r="AG4209" t="str">
            <v>ЮНГ</v>
          </cell>
        </row>
        <row r="4210">
          <cell r="AG4210" t="str">
            <v>ЮНГ</v>
          </cell>
        </row>
        <row r="4211">
          <cell r="AG4211" t="str">
            <v>ЮНГ</v>
          </cell>
        </row>
        <row r="4212">
          <cell r="AG4212" t="str">
            <v>ЮНГ</v>
          </cell>
        </row>
        <row r="4213">
          <cell r="AG4213" t="str">
            <v>ЮНГ</v>
          </cell>
        </row>
        <row r="4214">
          <cell r="AG4214" t="str">
            <v>ЮНГ</v>
          </cell>
        </row>
        <row r="4215">
          <cell r="AG4215" t="str">
            <v>ЮНГ</v>
          </cell>
        </row>
        <row r="4216">
          <cell r="AG4216" t="str">
            <v>ЮНГ</v>
          </cell>
        </row>
        <row r="4217">
          <cell r="AG4217" t="str">
            <v>ЮНГ</v>
          </cell>
        </row>
        <row r="4218">
          <cell r="AG4218" t="str">
            <v>ЮНГ</v>
          </cell>
        </row>
        <row r="4219">
          <cell r="AG4219" t="str">
            <v>ЮНГ</v>
          </cell>
        </row>
        <row r="4220">
          <cell r="AG4220" t="str">
            <v>ЮНГ</v>
          </cell>
        </row>
        <row r="4221">
          <cell r="AG4221" t="str">
            <v>ЮНГ</v>
          </cell>
        </row>
        <row r="4222">
          <cell r="AG4222" t="str">
            <v>ЮНГ</v>
          </cell>
        </row>
        <row r="4223">
          <cell r="AG4223" t="str">
            <v>ЮНГ</v>
          </cell>
        </row>
        <row r="4224">
          <cell r="AG4224" t="str">
            <v>ЮНГ</v>
          </cell>
        </row>
        <row r="4225">
          <cell r="AG4225" t="str">
            <v>ЮНГ</v>
          </cell>
        </row>
        <row r="4226">
          <cell r="AG4226" t="str">
            <v>ЮНГ</v>
          </cell>
        </row>
        <row r="4227">
          <cell r="AG4227" t="str">
            <v>ЮНГ</v>
          </cell>
        </row>
        <row r="4228">
          <cell r="AG4228" t="str">
            <v>ЮНГ</v>
          </cell>
        </row>
        <row r="4229">
          <cell r="AG4229" t="str">
            <v>ЮНГ</v>
          </cell>
        </row>
        <row r="4230">
          <cell r="AG4230" t="str">
            <v>ЮНГ</v>
          </cell>
        </row>
        <row r="4231">
          <cell r="AG4231" t="str">
            <v>ЮНГ</v>
          </cell>
        </row>
        <row r="4232">
          <cell r="AG4232" t="str">
            <v>ЮНГ</v>
          </cell>
        </row>
        <row r="4233">
          <cell r="AG4233" t="str">
            <v>ЮНГ</v>
          </cell>
        </row>
        <row r="4234">
          <cell r="AG4234" t="str">
            <v>ЮНГ</v>
          </cell>
        </row>
        <row r="4235">
          <cell r="AG4235" t="str">
            <v>ЮНГ</v>
          </cell>
        </row>
        <row r="4236">
          <cell r="AG4236" t="str">
            <v>ЮНГ</v>
          </cell>
        </row>
        <row r="4237">
          <cell r="AG4237" t="str">
            <v>ЮНГ</v>
          </cell>
        </row>
        <row r="4238">
          <cell r="AG4238" t="str">
            <v>ЮНГ</v>
          </cell>
        </row>
        <row r="4239">
          <cell r="AG4239" t="str">
            <v>ЮНГ</v>
          </cell>
        </row>
        <row r="4240">
          <cell r="AG4240" t="str">
            <v>ЮНГ</v>
          </cell>
        </row>
        <row r="4241">
          <cell r="AG4241" t="str">
            <v>ЮНГ</v>
          </cell>
        </row>
        <row r="4242">
          <cell r="AG4242" t="str">
            <v>ЮНГ</v>
          </cell>
        </row>
        <row r="4243">
          <cell r="AG4243" t="str">
            <v>ЮНГ</v>
          </cell>
        </row>
        <row r="4244">
          <cell r="AG4244" t="str">
            <v>ЮНГ</v>
          </cell>
        </row>
        <row r="4245">
          <cell r="AG4245" t="str">
            <v>ЮНГ</v>
          </cell>
        </row>
        <row r="4246">
          <cell r="AG4246" t="str">
            <v>ЮНГ</v>
          </cell>
        </row>
        <row r="4247">
          <cell r="AG4247" t="str">
            <v>ЮНГ</v>
          </cell>
        </row>
        <row r="4248">
          <cell r="AG4248" t="str">
            <v>ЮНГ</v>
          </cell>
        </row>
        <row r="4249">
          <cell r="AG4249" t="str">
            <v>ЮНГ</v>
          </cell>
        </row>
        <row r="4250">
          <cell r="AG4250" t="str">
            <v>ЮНГ</v>
          </cell>
        </row>
        <row r="4251">
          <cell r="AG4251" t="str">
            <v>ЮНГ</v>
          </cell>
        </row>
        <row r="4252">
          <cell r="AG4252" t="str">
            <v>ЮНГ</v>
          </cell>
        </row>
        <row r="4253">
          <cell r="AG4253" t="str">
            <v>ЮНГ</v>
          </cell>
        </row>
        <row r="4254">
          <cell r="AG4254" t="str">
            <v>ЮНГ</v>
          </cell>
        </row>
        <row r="4255">
          <cell r="AG4255" t="str">
            <v>ЮНГ</v>
          </cell>
        </row>
        <row r="4256">
          <cell r="AG4256" t="str">
            <v>ЮНГ</v>
          </cell>
        </row>
        <row r="4257">
          <cell r="AG4257" t="str">
            <v>ЮНГ</v>
          </cell>
        </row>
        <row r="4258">
          <cell r="AG4258" t="str">
            <v>ЮНГ</v>
          </cell>
        </row>
        <row r="4259">
          <cell r="AG4259" t="str">
            <v>ЮНГ</v>
          </cell>
        </row>
        <row r="4260">
          <cell r="AG4260" t="str">
            <v>ЮНГ</v>
          </cell>
        </row>
        <row r="4261">
          <cell r="AG4261" t="str">
            <v>ЮНГ</v>
          </cell>
        </row>
        <row r="4262">
          <cell r="AG4262" t="str">
            <v>ЮНГ</v>
          </cell>
        </row>
        <row r="4263">
          <cell r="AG4263" t="str">
            <v>ЮНГ</v>
          </cell>
        </row>
        <row r="4264">
          <cell r="AG4264" t="str">
            <v>ЮНГ</v>
          </cell>
        </row>
        <row r="4265">
          <cell r="AG4265" t="str">
            <v>ЮНГ</v>
          </cell>
        </row>
        <row r="4266">
          <cell r="AG4266" t="str">
            <v>ЮНГ</v>
          </cell>
        </row>
        <row r="4267">
          <cell r="AG4267" t="str">
            <v>ЮНГ</v>
          </cell>
        </row>
        <row r="4268">
          <cell r="AG4268" t="str">
            <v>ЮНГ</v>
          </cell>
        </row>
        <row r="4269">
          <cell r="AG4269" t="str">
            <v>ЮНГ</v>
          </cell>
        </row>
        <row r="4270">
          <cell r="AG4270" t="str">
            <v>ЮНГ</v>
          </cell>
        </row>
        <row r="4271">
          <cell r="AG4271" t="str">
            <v>ЮНГ</v>
          </cell>
        </row>
        <row r="4272">
          <cell r="AG4272" t="str">
            <v>ЮНГ</v>
          </cell>
        </row>
        <row r="4273">
          <cell r="AG4273" t="str">
            <v>ЮНГ</v>
          </cell>
        </row>
        <row r="4274">
          <cell r="AG4274" t="str">
            <v>ЮНГ</v>
          </cell>
        </row>
        <row r="4275">
          <cell r="AG4275" t="str">
            <v>ЮНГ</v>
          </cell>
        </row>
        <row r="4276">
          <cell r="AG4276" t="str">
            <v>ЮНГ</v>
          </cell>
        </row>
        <row r="4277">
          <cell r="AG4277" t="str">
            <v>ЮНГ</v>
          </cell>
        </row>
        <row r="4278">
          <cell r="AG4278" t="str">
            <v>ЮНГ</v>
          </cell>
        </row>
        <row r="4279">
          <cell r="AG4279" t="str">
            <v>ЮНГ</v>
          </cell>
        </row>
        <row r="4280">
          <cell r="AG4280" t="str">
            <v>ЮНГ</v>
          </cell>
        </row>
        <row r="4281">
          <cell r="AG4281" t="str">
            <v>ЮНГ</v>
          </cell>
        </row>
        <row r="4282">
          <cell r="AG4282" t="str">
            <v>ЮНГ</v>
          </cell>
        </row>
        <row r="4283">
          <cell r="AG4283" t="str">
            <v>ЮНГ</v>
          </cell>
        </row>
        <row r="4284">
          <cell r="AG4284" t="str">
            <v>ЮНГ</v>
          </cell>
        </row>
        <row r="4285">
          <cell r="AG4285" t="str">
            <v>ЮНГ</v>
          </cell>
        </row>
        <row r="4286">
          <cell r="AG4286" t="str">
            <v>ЮНГ</v>
          </cell>
        </row>
        <row r="4287">
          <cell r="AG4287" t="str">
            <v>ЮНГ</v>
          </cell>
        </row>
        <row r="4288">
          <cell r="AG4288" t="str">
            <v>ЮНГ</v>
          </cell>
        </row>
        <row r="4289">
          <cell r="AG4289" t="str">
            <v>ЮНГ</v>
          </cell>
        </row>
        <row r="4290">
          <cell r="AG4290" t="str">
            <v>ЮНГ</v>
          </cell>
        </row>
        <row r="4291">
          <cell r="AG4291" t="str">
            <v>ЮНГ</v>
          </cell>
        </row>
        <row r="4292">
          <cell r="AG4292" t="str">
            <v>ЮНГ</v>
          </cell>
        </row>
        <row r="4293">
          <cell r="AG4293" t="str">
            <v>ЮНГ</v>
          </cell>
        </row>
        <row r="4294">
          <cell r="AG4294" t="str">
            <v>ЮНГ</v>
          </cell>
        </row>
        <row r="4295">
          <cell r="AG4295" t="str">
            <v>ЮНГ</v>
          </cell>
        </row>
        <row r="4296">
          <cell r="AG4296" t="str">
            <v>ЮНГ</v>
          </cell>
        </row>
        <row r="4297">
          <cell r="AG4297" t="str">
            <v>ЮНГ</v>
          </cell>
        </row>
        <row r="4298">
          <cell r="AG4298" t="str">
            <v>ЮНГ</v>
          </cell>
        </row>
        <row r="4299">
          <cell r="AG4299" t="str">
            <v>ЮНГ</v>
          </cell>
        </row>
        <row r="4300">
          <cell r="AG4300" t="str">
            <v>ЮНГ</v>
          </cell>
        </row>
        <row r="4301">
          <cell r="AG4301" t="str">
            <v>ЮНГ</v>
          </cell>
        </row>
        <row r="4302">
          <cell r="AG4302" t="str">
            <v>ЮНГ</v>
          </cell>
        </row>
        <row r="4303">
          <cell r="AG4303" t="str">
            <v>ЮНГ</v>
          </cell>
        </row>
        <row r="4304">
          <cell r="AG4304" t="str">
            <v>ЮНГ</v>
          </cell>
        </row>
        <row r="4305">
          <cell r="AG4305" t="str">
            <v>ЮНГ</v>
          </cell>
        </row>
        <row r="4306">
          <cell r="AG4306" t="str">
            <v>ЮНГ</v>
          </cell>
        </row>
        <row r="4307">
          <cell r="AG4307" t="str">
            <v>ЮНГ</v>
          </cell>
        </row>
        <row r="4308">
          <cell r="AG4308" t="str">
            <v>ЮНГ</v>
          </cell>
        </row>
        <row r="4309">
          <cell r="AG4309" t="str">
            <v>ЮНГ</v>
          </cell>
        </row>
        <row r="4310">
          <cell r="AG4310" t="str">
            <v>ЮНГ</v>
          </cell>
        </row>
        <row r="4311">
          <cell r="AG4311" t="str">
            <v>ЮНГ</v>
          </cell>
        </row>
        <row r="4312">
          <cell r="AG4312" t="str">
            <v>ЮНГ</v>
          </cell>
        </row>
        <row r="4313">
          <cell r="AG4313" t="str">
            <v>ЮНГ</v>
          </cell>
        </row>
        <row r="4314">
          <cell r="AG4314" t="str">
            <v>ЮНГ</v>
          </cell>
        </row>
        <row r="4315">
          <cell r="AG4315" t="str">
            <v>ЮНГ</v>
          </cell>
        </row>
        <row r="4316">
          <cell r="AG4316" t="str">
            <v>ЮНГ</v>
          </cell>
        </row>
        <row r="4317">
          <cell r="AG4317" t="str">
            <v>ЮНГ</v>
          </cell>
        </row>
        <row r="4318">
          <cell r="AG4318" t="str">
            <v>ЮНГ</v>
          </cell>
        </row>
        <row r="4319">
          <cell r="AG4319" t="str">
            <v>ЮНГ</v>
          </cell>
        </row>
        <row r="4320">
          <cell r="AG4320" t="str">
            <v>ЮНГ</v>
          </cell>
        </row>
        <row r="4321">
          <cell r="AG4321" t="str">
            <v>ЮНГ</v>
          </cell>
        </row>
        <row r="4322">
          <cell r="AG4322" t="str">
            <v>ЮНГ</v>
          </cell>
        </row>
        <row r="4323">
          <cell r="AG4323" t="str">
            <v>ЮНГ</v>
          </cell>
        </row>
        <row r="4324">
          <cell r="AG4324" t="str">
            <v>ЮНГ</v>
          </cell>
        </row>
        <row r="4325">
          <cell r="AG4325" t="str">
            <v>ЮНГ</v>
          </cell>
        </row>
        <row r="4326">
          <cell r="AG4326" t="str">
            <v>ЮНГ</v>
          </cell>
        </row>
        <row r="4327">
          <cell r="AG4327" t="str">
            <v>ЮНГ</v>
          </cell>
        </row>
        <row r="4328">
          <cell r="AG4328" t="str">
            <v>ЮНГ</v>
          </cell>
        </row>
        <row r="4329">
          <cell r="AG4329" t="str">
            <v>ЮНГ</v>
          </cell>
        </row>
        <row r="4330">
          <cell r="AG4330" t="str">
            <v>ЮНГ</v>
          </cell>
        </row>
        <row r="4331">
          <cell r="AG4331" t="str">
            <v>ЮНГ</v>
          </cell>
        </row>
        <row r="4332">
          <cell r="AG4332" t="str">
            <v>ЮНГ</v>
          </cell>
        </row>
        <row r="4333">
          <cell r="AG4333" t="str">
            <v>ЮНГ</v>
          </cell>
        </row>
        <row r="4334">
          <cell r="AG4334" t="str">
            <v>ЮНГ</v>
          </cell>
        </row>
        <row r="4335">
          <cell r="AG4335" t="str">
            <v>ЮНГ</v>
          </cell>
        </row>
        <row r="4336">
          <cell r="AG4336" t="str">
            <v>ЮНГ</v>
          </cell>
        </row>
        <row r="4337">
          <cell r="AG4337" t="str">
            <v>ЮНГ</v>
          </cell>
        </row>
        <row r="4338">
          <cell r="AG4338" t="str">
            <v>ЮНГ</v>
          </cell>
        </row>
        <row r="4339">
          <cell r="AG4339" t="str">
            <v>ЮНГ</v>
          </cell>
        </row>
        <row r="4340">
          <cell r="AG4340" t="str">
            <v>ЮНГ</v>
          </cell>
        </row>
        <row r="4341">
          <cell r="AG4341" t="str">
            <v>ЮНГ</v>
          </cell>
        </row>
        <row r="4342">
          <cell r="AG4342" t="str">
            <v>ЮНГ</v>
          </cell>
        </row>
        <row r="4343">
          <cell r="AG4343" t="str">
            <v>ЮНГ</v>
          </cell>
        </row>
        <row r="4344">
          <cell r="AG4344" t="str">
            <v>ЮНГ</v>
          </cell>
        </row>
        <row r="4345">
          <cell r="AG4345" t="str">
            <v>ЮНГ</v>
          </cell>
        </row>
        <row r="4346">
          <cell r="AG4346" t="str">
            <v>ЮНГ</v>
          </cell>
        </row>
        <row r="4347">
          <cell r="AG4347" t="str">
            <v>ЮНГ</v>
          </cell>
        </row>
        <row r="4348">
          <cell r="AG4348" t="str">
            <v>ЮНГ</v>
          </cell>
        </row>
        <row r="4349">
          <cell r="AG4349" t="str">
            <v>ЮНГ</v>
          </cell>
        </row>
        <row r="4350">
          <cell r="AG4350" t="str">
            <v>ЮНГ</v>
          </cell>
        </row>
        <row r="4351">
          <cell r="AG4351" t="str">
            <v>ЮНГ</v>
          </cell>
        </row>
        <row r="4352">
          <cell r="AG4352" t="str">
            <v>ЮНГ</v>
          </cell>
        </row>
        <row r="4353">
          <cell r="AG4353" t="str">
            <v>ЮНГ</v>
          </cell>
        </row>
        <row r="4354">
          <cell r="AG4354" t="str">
            <v>ЮНГ</v>
          </cell>
        </row>
        <row r="4355">
          <cell r="AG4355" t="str">
            <v>ЮНГ</v>
          </cell>
        </row>
        <row r="4356">
          <cell r="AG4356" t="str">
            <v>ЮНГ</v>
          </cell>
        </row>
        <row r="4357">
          <cell r="AG4357" t="str">
            <v>ЮНГ</v>
          </cell>
        </row>
        <row r="4358">
          <cell r="AG4358" t="str">
            <v>ЮНГ</v>
          </cell>
        </row>
        <row r="4359">
          <cell r="AG4359" t="str">
            <v>ЮНГ</v>
          </cell>
        </row>
        <row r="4360">
          <cell r="AG4360" t="str">
            <v>ЮНГ</v>
          </cell>
        </row>
        <row r="4361">
          <cell r="AG4361" t="str">
            <v>ЮНГ</v>
          </cell>
        </row>
        <row r="4362">
          <cell r="AG4362" t="str">
            <v>ЮНГ</v>
          </cell>
        </row>
        <row r="4363">
          <cell r="AG4363" t="str">
            <v>ЮНГ</v>
          </cell>
        </row>
        <row r="4364">
          <cell r="AG4364" t="str">
            <v>ЮНГ</v>
          </cell>
        </row>
        <row r="4365">
          <cell r="AG4365" t="str">
            <v>ЮНГ</v>
          </cell>
        </row>
        <row r="4366">
          <cell r="AG4366" t="str">
            <v>ЮНГ</v>
          </cell>
        </row>
        <row r="4367">
          <cell r="AG4367" t="str">
            <v>ЮНГ</v>
          </cell>
        </row>
        <row r="4368">
          <cell r="AG4368" t="str">
            <v>ЮНГ</v>
          </cell>
        </row>
        <row r="4369">
          <cell r="AG4369" t="str">
            <v>ЮНГ</v>
          </cell>
        </row>
        <row r="4370">
          <cell r="AG4370" t="str">
            <v>ЮНГ</v>
          </cell>
        </row>
        <row r="4371">
          <cell r="AG4371" t="str">
            <v>ЮНГ</v>
          </cell>
        </row>
        <row r="4372">
          <cell r="AG4372" t="str">
            <v>ЮНГ</v>
          </cell>
        </row>
        <row r="4373">
          <cell r="AG4373" t="str">
            <v>ЮНГ</v>
          </cell>
        </row>
        <row r="4374">
          <cell r="AG4374" t="str">
            <v>ЮНГ</v>
          </cell>
        </row>
        <row r="4375">
          <cell r="AG4375" t="str">
            <v>ЮНГ</v>
          </cell>
        </row>
        <row r="4376">
          <cell r="AG4376" t="str">
            <v>ЮНГ</v>
          </cell>
        </row>
        <row r="4377">
          <cell r="AG4377" t="str">
            <v>ЮНГ</v>
          </cell>
        </row>
        <row r="4378">
          <cell r="AG4378" t="str">
            <v>ЮНГ</v>
          </cell>
        </row>
        <row r="4379">
          <cell r="AG4379" t="str">
            <v>ЮНГ</v>
          </cell>
        </row>
        <row r="4380">
          <cell r="AG4380" t="str">
            <v>ЮНГ</v>
          </cell>
        </row>
        <row r="4381">
          <cell r="AG4381" t="str">
            <v>ЮНГ</v>
          </cell>
        </row>
        <row r="4382">
          <cell r="AG4382" t="str">
            <v>ЮНГ</v>
          </cell>
        </row>
        <row r="4383">
          <cell r="AG4383" t="str">
            <v>ЮНГ</v>
          </cell>
        </row>
        <row r="4384">
          <cell r="AG4384" t="str">
            <v>ЮНГ</v>
          </cell>
        </row>
        <row r="4385">
          <cell r="AG4385" t="str">
            <v>ЮНГ</v>
          </cell>
        </row>
        <row r="4386">
          <cell r="AG4386" t="str">
            <v>ЮНГ</v>
          </cell>
        </row>
        <row r="4387">
          <cell r="AG4387" t="str">
            <v>ЮНГ</v>
          </cell>
        </row>
        <row r="4388">
          <cell r="AG4388" t="str">
            <v>ЮНГ</v>
          </cell>
        </row>
        <row r="4389">
          <cell r="AG4389" t="str">
            <v>ЮНГ</v>
          </cell>
        </row>
        <row r="4390">
          <cell r="AG4390" t="str">
            <v>ЮНГ</v>
          </cell>
        </row>
        <row r="4391">
          <cell r="AG4391" t="str">
            <v>ЮНГ</v>
          </cell>
        </row>
        <row r="4392">
          <cell r="AG4392" t="str">
            <v>ЮНГ</v>
          </cell>
        </row>
        <row r="4393">
          <cell r="AG4393" t="str">
            <v>ЮНГ</v>
          </cell>
        </row>
        <row r="4394">
          <cell r="AG4394" t="str">
            <v>ЮНГ</v>
          </cell>
        </row>
        <row r="4395">
          <cell r="AG4395" t="str">
            <v>ЮНГ</v>
          </cell>
        </row>
        <row r="4396">
          <cell r="AG4396" t="str">
            <v>ЮНГ</v>
          </cell>
        </row>
        <row r="4397">
          <cell r="AG4397" t="str">
            <v>ЮНГ</v>
          </cell>
        </row>
        <row r="4398">
          <cell r="AG4398" t="str">
            <v>ЮНГ</v>
          </cell>
        </row>
        <row r="4399">
          <cell r="AG4399" t="str">
            <v>ЮНГ</v>
          </cell>
        </row>
        <row r="4400">
          <cell r="AG4400" t="str">
            <v>ЮНГ</v>
          </cell>
        </row>
        <row r="4401">
          <cell r="AG4401" t="str">
            <v>ЮНГ</v>
          </cell>
        </row>
        <row r="4402">
          <cell r="AG4402" t="str">
            <v>ЮНГ</v>
          </cell>
        </row>
        <row r="4403">
          <cell r="AG4403" t="str">
            <v>ЮНГ</v>
          </cell>
        </row>
        <row r="4404">
          <cell r="AG4404" t="str">
            <v>ЮНГ</v>
          </cell>
        </row>
        <row r="4405">
          <cell r="AG4405" t="str">
            <v>ЮНГ</v>
          </cell>
        </row>
        <row r="4406">
          <cell r="AG4406" t="str">
            <v>ЮНГ</v>
          </cell>
        </row>
        <row r="4407">
          <cell r="AG4407" t="str">
            <v>ЮНГ</v>
          </cell>
        </row>
        <row r="4408">
          <cell r="AG4408" t="str">
            <v>ЮНГ</v>
          </cell>
        </row>
        <row r="4409">
          <cell r="AG4409" t="str">
            <v>ЮНГ</v>
          </cell>
        </row>
        <row r="4410">
          <cell r="AG4410" t="str">
            <v>ЮНГ</v>
          </cell>
        </row>
        <row r="4411">
          <cell r="AG4411" t="str">
            <v>ЮНГ</v>
          </cell>
        </row>
        <row r="4412">
          <cell r="AG4412" t="str">
            <v>ЮНГ</v>
          </cell>
        </row>
        <row r="4413">
          <cell r="AG4413" t="str">
            <v>ЮНГ</v>
          </cell>
        </row>
        <row r="4414">
          <cell r="AG4414" t="str">
            <v>ЮНГ</v>
          </cell>
        </row>
        <row r="4415">
          <cell r="AG4415" t="str">
            <v>ЮНГ</v>
          </cell>
        </row>
        <row r="4416">
          <cell r="AG4416" t="str">
            <v>ЮНГ</v>
          </cell>
        </row>
        <row r="4417">
          <cell r="AG4417" t="str">
            <v>ЮНГ</v>
          </cell>
        </row>
        <row r="4418">
          <cell r="AG4418" t="str">
            <v>ЮНГ</v>
          </cell>
        </row>
        <row r="4419">
          <cell r="AG4419" t="str">
            <v>ЮНГ</v>
          </cell>
        </row>
        <row r="4420">
          <cell r="AG4420" t="str">
            <v>ЮНГ</v>
          </cell>
        </row>
        <row r="4421">
          <cell r="AG4421" t="str">
            <v>ЮНГ</v>
          </cell>
        </row>
        <row r="4422">
          <cell r="AG4422" t="str">
            <v>ЮНГ</v>
          </cell>
        </row>
        <row r="4423">
          <cell r="AG4423" t="str">
            <v>ЮНГ</v>
          </cell>
        </row>
        <row r="4424">
          <cell r="AG4424" t="str">
            <v>ЮНГ</v>
          </cell>
        </row>
        <row r="4425">
          <cell r="AG4425" t="str">
            <v>ЮНГ</v>
          </cell>
        </row>
        <row r="4426">
          <cell r="AG4426" t="str">
            <v>ЮНГ</v>
          </cell>
        </row>
        <row r="4427">
          <cell r="AG4427" t="str">
            <v>ЮНГ</v>
          </cell>
        </row>
        <row r="4428">
          <cell r="AG4428" t="str">
            <v>ЮНГ</v>
          </cell>
        </row>
        <row r="4429">
          <cell r="AG4429" t="str">
            <v>ЮНГ</v>
          </cell>
        </row>
        <row r="4430">
          <cell r="AG4430" t="str">
            <v>ЮНГ</v>
          </cell>
        </row>
        <row r="4431">
          <cell r="AG4431" t="str">
            <v>ЮНГ</v>
          </cell>
        </row>
        <row r="4432">
          <cell r="AG4432" t="str">
            <v>ЮНГ</v>
          </cell>
        </row>
        <row r="4433">
          <cell r="AG4433" t="str">
            <v>ЮНГ</v>
          </cell>
        </row>
        <row r="4434">
          <cell r="AG4434" t="str">
            <v>ЮНГ</v>
          </cell>
        </row>
        <row r="4435">
          <cell r="AG4435" t="str">
            <v>ЮНГ</v>
          </cell>
        </row>
        <row r="4436">
          <cell r="AG4436" t="str">
            <v>ЮНГ</v>
          </cell>
        </row>
        <row r="4437">
          <cell r="AG4437" t="str">
            <v>ЮНГ</v>
          </cell>
        </row>
        <row r="4438">
          <cell r="AG4438" t="str">
            <v>ЮНГ</v>
          </cell>
        </row>
        <row r="4439">
          <cell r="AG4439" t="str">
            <v>ЮНГ</v>
          </cell>
        </row>
        <row r="4440">
          <cell r="AG4440" t="str">
            <v>ЮНГ</v>
          </cell>
        </row>
        <row r="4441">
          <cell r="AG4441" t="str">
            <v>ЮНГ</v>
          </cell>
        </row>
        <row r="4442">
          <cell r="AG4442" t="str">
            <v>ЮНГ</v>
          </cell>
        </row>
        <row r="4443">
          <cell r="AG4443" t="str">
            <v>ЮНГ</v>
          </cell>
        </row>
        <row r="4444">
          <cell r="AG4444" t="str">
            <v>ЮНГ</v>
          </cell>
        </row>
        <row r="4445">
          <cell r="AG4445" t="str">
            <v>ЮНГ</v>
          </cell>
        </row>
        <row r="4446">
          <cell r="AG4446" t="str">
            <v>ЮНГ</v>
          </cell>
        </row>
        <row r="4447">
          <cell r="AG4447" t="str">
            <v>ЮНГ</v>
          </cell>
        </row>
        <row r="4448">
          <cell r="AG4448" t="str">
            <v>ЮНГ</v>
          </cell>
        </row>
        <row r="4449">
          <cell r="AG4449" t="str">
            <v>ЮНГ</v>
          </cell>
        </row>
        <row r="4450">
          <cell r="AG4450" t="str">
            <v>ЮНГ</v>
          </cell>
        </row>
        <row r="4451">
          <cell r="AG4451" t="str">
            <v>ЮНГ</v>
          </cell>
        </row>
        <row r="4452">
          <cell r="AG4452" t="str">
            <v>ЮНГ</v>
          </cell>
        </row>
        <row r="4453">
          <cell r="AG4453" t="str">
            <v>ЮНГ</v>
          </cell>
        </row>
        <row r="4454">
          <cell r="AG4454" t="str">
            <v>ЮНГ</v>
          </cell>
        </row>
        <row r="4455">
          <cell r="AG4455" t="str">
            <v>ЮНГ</v>
          </cell>
        </row>
        <row r="4456">
          <cell r="AG4456" t="str">
            <v>ЮНГ</v>
          </cell>
        </row>
        <row r="4457">
          <cell r="AG4457" t="str">
            <v>ЮНГ</v>
          </cell>
        </row>
        <row r="4458">
          <cell r="AG4458" t="str">
            <v>ЮНГ</v>
          </cell>
        </row>
        <row r="4459">
          <cell r="AG4459" t="str">
            <v>ЮНГ</v>
          </cell>
        </row>
        <row r="4460">
          <cell r="AG4460" t="str">
            <v>ЮНГ</v>
          </cell>
        </row>
        <row r="4461">
          <cell r="AG4461" t="str">
            <v>ЮНГ</v>
          </cell>
        </row>
        <row r="4462">
          <cell r="AG4462" t="str">
            <v>ЮНГ</v>
          </cell>
        </row>
        <row r="4463">
          <cell r="AG4463" t="str">
            <v>ЮНГ</v>
          </cell>
        </row>
        <row r="4464">
          <cell r="AG4464" t="str">
            <v>ЮНГ</v>
          </cell>
        </row>
        <row r="4465">
          <cell r="AG4465" t="str">
            <v>ЮНГ</v>
          </cell>
        </row>
        <row r="4466">
          <cell r="AG4466" t="str">
            <v>ЮНГ</v>
          </cell>
        </row>
        <row r="4467">
          <cell r="AG4467" t="str">
            <v>ЮНГ</v>
          </cell>
        </row>
        <row r="4468">
          <cell r="AG4468" t="str">
            <v>ЮНГ</v>
          </cell>
        </row>
        <row r="4469">
          <cell r="AG4469" t="str">
            <v>ЮНГ</v>
          </cell>
        </row>
        <row r="4470">
          <cell r="AG4470" t="str">
            <v>ЮНГ</v>
          </cell>
        </row>
        <row r="4471">
          <cell r="AG4471" t="str">
            <v>ЮНГ</v>
          </cell>
        </row>
        <row r="4472">
          <cell r="AG4472" t="str">
            <v>ЮНГ</v>
          </cell>
        </row>
        <row r="4473">
          <cell r="AG4473" t="str">
            <v>ЮНГ</v>
          </cell>
        </row>
        <row r="4474">
          <cell r="AG4474" t="str">
            <v>ЮНГ</v>
          </cell>
        </row>
        <row r="4475">
          <cell r="AG4475" t="str">
            <v>ЮНГ</v>
          </cell>
        </row>
        <row r="4476">
          <cell r="AG4476" t="str">
            <v>ЮНГ</v>
          </cell>
        </row>
        <row r="4477">
          <cell r="AG4477" t="str">
            <v>ЮНГ</v>
          </cell>
        </row>
        <row r="4478">
          <cell r="AG4478" t="str">
            <v>ЮНГ</v>
          </cell>
        </row>
        <row r="4479">
          <cell r="AG4479" t="str">
            <v>ЮНГ</v>
          </cell>
        </row>
        <row r="4480">
          <cell r="AG4480" t="str">
            <v>ЮНГ</v>
          </cell>
        </row>
        <row r="4481">
          <cell r="AG4481" t="str">
            <v>ЮНГ</v>
          </cell>
        </row>
        <row r="4482">
          <cell r="AG4482" t="str">
            <v>ЮНГ</v>
          </cell>
        </row>
        <row r="4483">
          <cell r="AG4483" t="str">
            <v>ЮНГ</v>
          </cell>
        </row>
        <row r="4484">
          <cell r="AG4484" t="str">
            <v>ЮНГ</v>
          </cell>
        </row>
        <row r="4485">
          <cell r="AG4485" t="str">
            <v>ЮНГ</v>
          </cell>
        </row>
        <row r="4486">
          <cell r="AG4486" t="str">
            <v>ЮНГ</v>
          </cell>
        </row>
        <row r="4487">
          <cell r="AG4487" t="str">
            <v>ЮНГ</v>
          </cell>
        </row>
        <row r="4488">
          <cell r="AG4488" t="str">
            <v>ЮНГ</v>
          </cell>
        </row>
        <row r="4489">
          <cell r="AG4489" t="str">
            <v>ЮНГ</v>
          </cell>
        </row>
        <row r="4490">
          <cell r="AG4490" t="str">
            <v>ЮНГ</v>
          </cell>
        </row>
        <row r="4491">
          <cell r="AG4491" t="str">
            <v>ЮНГ</v>
          </cell>
        </row>
        <row r="4492">
          <cell r="AG4492" t="str">
            <v>ЮНГ</v>
          </cell>
        </row>
        <row r="4493">
          <cell r="AG4493" t="str">
            <v>ЮНГ</v>
          </cell>
        </row>
        <row r="4494">
          <cell r="AG4494" t="str">
            <v>ЮНГ</v>
          </cell>
        </row>
        <row r="4495">
          <cell r="AG4495" t="str">
            <v>ЮНГ</v>
          </cell>
        </row>
        <row r="4496">
          <cell r="AG4496" t="str">
            <v>ЮНГ</v>
          </cell>
        </row>
        <row r="4497">
          <cell r="AG4497" t="str">
            <v>ЮНГ</v>
          </cell>
        </row>
        <row r="4498">
          <cell r="AG4498" t="str">
            <v>ЮНГ</v>
          </cell>
        </row>
        <row r="4499">
          <cell r="AG4499" t="str">
            <v>ЮНГ</v>
          </cell>
        </row>
        <row r="4500">
          <cell r="AG4500" t="str">
            <v>ЮНГ</v>
          </cell>
        </row>
        <row r="4501">
          <cell r="AG4501" t="str">
            <v>ЮНГ</v>
          </cell>
        </row>
        <row r="4502">
          <cell r="AG4502" t="str">
            <v>ЮНГ</v>
          </cell>
        </row>
        <row r="4503">
          <cell r="AG4503" t="str">
            <v>ЮНГ</v>
          </cell>
        </row>
        <row r="4504">
          <cell r="AG4504" t="str">
            <v>ЮНГ</v>
          </cell>
        </row>
        <row r="4505">
          <cell r="AG4505" t="str">
            <v>ЮНГ</v>
          </cell>
        </row>
        <row r="4506">
          <cell r="AG4506" t="str">
            <v>ЮНГ</v>
          </cell>
        </row>
        <row r="4507">
          <cell r="AG4507" t="str">
            <v>ЮНГ</v>
          </cell>
        </row>
        <row r="4508">
          <cell r="AG4508" t="str">
            <v>ЮНГ</v>
          </cell>
        </row>
        <row r="4509">
          <cell r="AG4509" t="str">
            <v>ЮНГ</v>
          </cell>
        </row>
        <row r="4510">
          <cell r="AG4510" t="str">
            <v>ЮНГ</v>
          </cell>
        </row>
        <row r="4511">
          <cell r="AG4511" t="str">
            <v>ЮНГ</v>
          </cell>
        </row>
        <row r="4512">
          <cell r="AG4512" t="str">
            <v>ЮНГ</v>
          </cell>
        </row>
        <row r="4513">
          <cell r="AG4513" t="str">
            <v>ЮНГ</v>
          </cell>
        </row>
        <row r="4514">
          <cell r="AG4514" t="str">
            <v>ЮНГ</v>
          </cell>
        </row>
        <row r="4515">
          <cell r="AG4515" t="str">
            <v>ЮНГ</v>
          </cell>
        </row>
        <row r="4516">
          <cell r="AG4516" t="str">
            <v>ЮНГ</v>
          </cell>
        </row>
        <row r="4517">
          <cell r="AG4517" t="str">
            <v>ЮНГ</v>
          </cell>
        </row>
        <row r="4518">
          <cell r="AG4518" t="str">
            <v>ЮНГ</v>
          </cell>
        </row>
        <row r="4519">
          <cell r="AG4519" t="str">
            <v>ЮНГ</v>
          </cell>
        </row>
        <row r="4520">
          <cell r="AG4520" t="str">
            <v>ЮНГ</v>
          </cell>
        </row>
        <row r="4521">
          <cell r="AG4521" t="str">
            <v>ЮНГ</v>
          </cell>
        </row>
        <row r="4522">
          <cell r="AG4522" t="str">
            <v>ЮНГ</v>
          </cell>
        </row>
        <row r="4523">
          <cell r="AG4523" t="str">
            <v>ЮНГ</v>
          </cell>
        </row>
        <row r="4524">
          <cell r="AG4524" t="str">
            <v>ЮНГ</v>
          </cell>
        </row>
        <row r="4525">
          <cell r="AG4525" t="str">
            <v>ЮНГ</v>
          </cell>
        </row>
        <row r="4526">
          <cell r="AG4526" t="str">
            <v>ЮНГ</v>
          </cell>
        </row>
        <row r="4527">
          <cell r="AG4527" t="str">
            <v>ЮНГ</v>
          </cell>
        </row>
        <row r="4528">
          <cell r="AG4528" t="str">
            <v>ЮНГ</v>
          </cell>
        </row>
        <row r="4529">
          <cell r="AG4529" t="str">
            <v>ЮНГ</v>
          </cell>
        </row>
        <row r="4530">
          <cell r="AG4530" t="str">
            <v>ЮНГ</v>
          </cell>
        </row>
        <row r="4531">
          <cell r="AG4531" t="str">
            <v>ЮНГ</v>
          </cell>
        </row>
        <row r="4532">
          <cell r="AG4532" t="str">
            <v>ЮНГ</v>
          </cell>
        </row>
        <row r="4533">
          <cell r="AG4533" t="str">
            <v>ЮНГ</v>
          </cell>
        </row>
        <row r="4534">
          <cell r="AG4534" t="str">
            <v>ЮНГ</v>
          </cell>
        </row>
        <row r="4535">
          <cell r="AG4535" t="str">
            <v>ЮНГ</v>
          </cell>
        </row>
        <row r="4536">
          <cell r="AG4536" t="str">
            <v>ЮНГ</v>
          </cell>
        </row>
        <row r="4537">
          <cell r="AG4537" t="str">
            <v>ЮНГ</v>
          </cell>
        </row>
        <row r="4538">
          <cell r="AG4538" t="str">
            <v>ЮНГ</v>
          </cell>
        </row>
        <row r="4539">
          <cell r="AG4539" t="str">
            <v>ЮНГ</v>
          </cell>
        </row>
        <row r="4540">
          <cell r="AG4540" t="str">
            <v>ЮНГ</v>
          </cell>
        </row>
        <row r="4541">
          <cell r="AG4541" t="str">
            <v>ЮНГ</v>
          </cell>
        </row>
        <row r="4542">
          <cell r="AG4542" t="str">
            <v>ЮНГ</v>
          </cell>
        </row>
        <row r="4543">
          <cell r="AG4543" t="str">
            <v>ЮНГ</v>
          </cell>
        </row>
        <row r="4544">
          <cell r="AG4544" t="str">
            <v>ЮНГ</v>
          </cell>
        </row>
        <row r="4545">
          <cell r="AG4545" t="str">
            <v>ЮНГ</v>
          </cell>
        </row>
        <row r="4546">
          <cell r="AG4546" t="str">
            <v>ЮНГ</v>
          </cell>
        </row>
        <row r="4547">
          <cell r="AG4547" t="str">
            <v>ЮНГ</v>
          </cell>
        </row>
        <row r="4548">
          <cell r="AG4548" t="str">
            <v>ЮНГ</v>
          </cell>
        </row>
        <row r="4549">
          <cell r="AG4549" t="str">
            <v>ЮНГ</v>
          </cell>
        </row>
        <row r="4550">
          <cell r="AG4550" t="str">
            <v>ЮНГ</v>
          </cell>
        </row>
        <row r="4551">
          <cell r="AG4551" t="str">
            <v>ЮНГ</v>
          </cell>
        </row>
        <row r="4552">
          <cell r="AG4552" t="str">
            <v>ЮНГ</v>
          </cell>
        </row>
        <row r="4553">
          <cell r="AG4553" t="str">
            <v>ЮНГ</v>
          </cell>
        </row>
        <row r="4554">
          <cell r="AG4554" t="str">
            <v>ЮНГ</v>
          </cell>
        </row>
        <row r="4555">
          <cell r="AG4555" t="str">
            <v>ЮНГ</v>
          </cell>
        </row>
        <row r="4556">
          <cell r="AG4556" t="str">
            <v>ЮНГ</v>
          </cell>
        </row>
        <row r="4557">
          <cell r="AG4557" t="str">
            <v>ЮНГ</v>
          </cell>
        </row>
        <row r="4558">
          <cell r="AG4558" t="str">
            <v>ЮНГ</v>
          </cell>
        </row>
        <row r="4559">
          <cell r="AG4559" t="str">
            <v>ЮНГ</v>
          </cell>
        </row>
        <row r="4560">
          <cell r="AG4560" t="str">
            <v>ЮНГ</v>
          </cell>
        </row>
        <row r="4561">
          <cell r="AG4561" t="str">
            <v>ЮНГ</v>
          </cell>
        </row>
        <row r="4562">
          <cell r="AG4562" t="str">
            <v>ЮНГ</v>
          </cell>
        </row>
        <row r="4563">
          <cell r="AG4563" t="str">
            <v>ЮНГ</v>
          </cell>
        </row>
        <row r="4564">
          <cell r="AG4564" t="str">
            <v>ЮНГ</v>
          </cell>
        </row>
        <row r="4565">
          <cell r="AG4565" t="str">
            <v>ЮНГ</v>
          </cell>
        </row>
        <row r="4566">
          <cell r="AG4566" t="str">
            <v>ЮНГ</v>
          </cell>
        </row>
        <row r="4567">
          <cell r="AG4567" t="str">
            <v>ЮНГ</v>
          </cell>
        </row>
        <row r="4568">
          <cell r="AG4568" t="str">
            <v>ЮНГ</v>
          </cell>
        </row>
        <row r="4569">
          <cell r="AG4569" t="str">
            <v>ЮНГ</v>
          </cell>
        </row>
        <row r="4570">
          <cell r="AG4570" t="str">
            <v>ЮНГ</v>
          </cell>
        </row>
        <row r="4571">
          <cell r="AG4571" t="str">
            <v>ЮНГ</v>
          </cell>
        </row>
        <row r="4572">
          <cell r="AG4572" t="str">
            <v>ЮНГ</v>
          </cell>
        </row>
        <row r="4573">
          <cell r="AG4573" t="str">
            <v>ЮНГ</v>
          </cell>
        </row>
        <row r="4574">
          <cell r="AG4574" t="str">
            <v>ЮНГ</v>
          </cell>
        </row>
        <row r="4575">
          <cell r="AG4575" t="str">
            <v>ЮНГ</v>
          </cell>
        </row>
        <row r="4576">
          <cell r="AG4576" t="str">
            <v>ЮНГ</v>
          </cell>
        </row>
        <row r="4577">
          <cell r="AG4577" t="str">
            <v>ЮНГ</v>
          </cell>
        </row>
        <row r="4578">
          <cell r="AG4578" t="str">
            <v>ЮНГ</v>
          </cell>
        </row>
        <row r="4579">
          <cell r="AG4579" t="str">
            <v>ЮНГ</v>
          </cell>
        </row>
        <row r="4580">
          <cell r="AG4580" t="str">
            <v>ЮНГ</v>
          </cell>
        </row>
        <row r="4581">
          <cell r="AG4581" t="str">
            <v>ЮНГ</v>
          </cell>
        </row>
        <row r="4582">
          <cell r="AG4582" t="str">
            <v>ЮНГ</v>
          </cell>
        </row>
        <row r="4583">
          <cell r="AG4583" t="str">
            <v>ЮНГ</v>
          </cell>
        </row>
        <row r="4584">
          <cell r="AG4584" t="str">
            <v>ЮНГ</v>
          </cell>
        </row>
        <row r="4585">
          <cell r="AG4585" t="str">
            <v>ЮНГ</v>
          </cell>
        </row>
        <row r="4586">
          <cell r="AG4586" t="str">
            <v>ЮНГ</v>
          </cell>
        </row>
        <row r="4587">
          <cell r="AG4587" t="str">
            <v>ЮНГ</v>
          </cell>
        </row>
        <row r="4588">
          <cell r="AG4588" t="str">
            <v>ЮНГ</v>
          </cell>
        </row>
        <row r="4589">
          <cell r="AG4589" t="str">
            <v>ЮНГ</v>
          </cell>
        </row>
        <row r="4590">
          <cell r="AG4590" t="str">
            <v>ЮНГ</v>
          </cell>
        </row>
        <row r="4591">
          <cell r="AG4591" t="str">
            <v>ЮНГ</v>
          </cell>
        </row>
        <row r="4592">
          <cell r="AG4592" t="str">
            <v>ЮНГ</v>
          </cell>
        </row>
        <row r="4593">
          <cell r="AG4593" t="str">
            <v>ЮНГ</v>
          </cell>
        </row>
        <row r="4594">
          <cell r="AG4594" t="str">
            <v>ЮНГ</v>
          </cell>
        </row>
        <row r="4595">
          <cell r="AG4595" t="str">
            <v>ЮНГ</v>
          </cell>
        </row>
        <row r="4596">
          <cell r="AG4596" t="str">
            <v>ЮНГ</v>
          </cell>
        </row>
        <row r="4597">
          <cell r="AG4597" t="str">
            <v>ЮНГ</v>
          </cell>
        </row>
        <row r="4598">
          <cell r="AG4598" t="str">
            <v>ЮНГ</v>
          </cell>
        </row>
        <row r="4599">
          <cell r="AG4599" t="str">
            <v>ЮНГ</v>
          </cell>
        </row>
        <row r="4600">
          <cell r="AG4600" t="str">
            <v>ЮНГ</v>
          </cell>
        </row>
        <row r="4601">
          <cell r="AG4601" t="str">
            <v>ЮНГ</v>
          </cell>
        </row>
        <row r="4602">
          <cell r="AG4602" t="str">
            <v>ЮНГ</v>
          </cell>
        </row>
        <row r="4603">
          <cell r="AG4603" t="str">
            <v>ЮНГ</v>
          </cell>
        </row>
        <row r="4604">
          <cell r="AG4604" t="str">
            <v>ЮНГ</v>
          </cell>
        </row>
        <row r="4605">
          <cell r="AG4605" t="str">
            <v>ЮНГ</v>
          </cell>
        </row>
        <row r="4606">
          <cell r="AG4606" t="str">
            <v>ЮНГ</v>
          </cell>
        </row>
        <row r="4607">
          <cell r="AG4607" t="str">
            <v>ЮНГ</v>
          </cell>
        </row>
        <row r="4608">
          <cell r="AG4608" t="str">
            <v>ЮНГ</v>
          </cell>
        </row>
        <row r="4609">
          <cell r="AG4609" t="str">
            <v>ЮНГ</v>
          </cell>
        </row>
        <row r="4610">
          <cell r="AG4610" t="str">
            <v>ЮНГ</v>
          </cell>
        </row>
        <row r="4611">
          <cell r="AG4611" t="str">
            <v>ЮНГ</v>
          </cell>
        </row>
        <row r="4612">
          <cell r="AG4612" t="str">
            <v>ЮНГ</v>
          </cell>
        </row>
        <row r="4613">
          <cell r="AG4613" t="str">
            <v>ЮНГ</v>
          </cell>
        </row>
        <row r="4614">
          <cell r="AG4614" t="str">
            <v>ЮНГ</v>
          </cell>
        </row>
        <row r="4615">
          <cell r="AG4615" t="str">
            <v>ЮНГ</v>
          </cell>
        </row>
        <row r="4616">
          <cell r="AG4616" t="str">
            <v>ЮНГ</v>
          </cell>
        </row>
        <row r="4617">
          <cell r="AG4617" t="str">
            <v>ЮНГ</v>
          </cell>
        </row>
        <row r="4618">
          <cell r="AG4618" t="str">
            <v>ЮНГ</v>
          </cell>
        </row>
        <row r="4619">
          <cell r="AG4619" t="str">
            <v>ЮНГ</v>
          </cell>
        </row>
        <row r="4620">
          <cell r="AG4620" t="str">
            <v>ЮНГ</v>
          </cell>
        </row>
        <row r="4621">
          <cell r="AG4621" t="str">
            <v>ЮНГ</v>
          </cell>
        </row>
        <row r="4622">
          <cell r="AG4622" t="str">
            <v>ЮНГ</v>
          </cell>
        </row>
        <row r="4623">
          <cell r="AG4623" t="str">
            <v>ЮНГ</v>
          </cell>
        </row>
        <row r="4624">
          <cell r="AG4624" t="str">
            <v>ЮНГ</v>
          </cell>
        </row>
        <row r="4625">
          <cell r="AG4625" t="str">
            <v>ЮНГ</v>
          </cell>
        </row>
        <row r="4626">
          <cell r="AG4626" t="str">
            <v>ЮНГ</v>
          </cell>
        </row>
        <row r="4627">
          <cell r="AG4627" t="str">
            <v>ЮНГ</v>
          </cell>
        </row>
        <row r="4628">
          <cell r="AG4628" t="str">
            <v>ЮНГ</v>
          </cell>
        </row>
        <row r="4629">
          <cell r="AG4629" t="str">
            <v>ЮНГ</v>
          </cell>
        </row>
        <row r="4630">
          <cell r="AG4630" t="str">
            <v>ЮНГ</v>
          </cell>
        </row>
        <row r="4631">
          <cell r="AG4631" t="str">
            <v>ЮНГ</v>
          </cell>
        </row>
        <row r="4632">
          <cell r="AG4632" t="str">
            <v>ЮНГ</v>
          </cell>
        </row>
        <row r="4633">
          <cell r="AG4633" t="str">
            <v>ЮНГ</v>
          </cell>
        </row>
        <row r="4634">
          <cell r="AG4634" t="str">
            <v>ЮНГ</v>
          </cell>
        </row>
        <row r="4635">
          <cell r="AG4635" t="str">
            <v>ЮНГ</v>
          </cell>
        </row>
        <row r="4636">
          <cell r="AG4636" t="str">
            <v>ЮНГ</v>
          </cell>
        </row>
        <row r="4637">
          <cell r="AG4637" t="str">
            <v>ЮНГ</v>
          </cell>
        </row>
        <row r="4638">
          <cell r="AG4638" t="str">
            <v>ЮНГ</v>
          </cell>
        </row>
        <row r="4639">
          <cell r="AG4639" t="str">
            <v>ЮНГ</v>
          </cell>
        </row>
        <row r="4640">
          <cell r="AG4640" t="str">
            <v>ЮНГ</v>
          </cell>
        </row>
        <row r="4641">
          <cell r="AG4641" t="str">
            <v>ЮНГ</v>
          </cell>
        </row>
        <row r="4642">
          <cell r="AG4642" t="str">
            <v>ЮНГ</v>
          </cell>
        </row>
        <row r="4643">
          <cell r="AG4643" t="str">
            <v>ЮНГ</v>
          </cell>
        </row>
        <row r="4644">
          <cell r="AG4644" t="str">
            <v>ЮНГ</v>
          </cell>
        </row>
        <row r="4645">
          <cell r="AG4645" t="str">
            <v>ЮНГ</v>
          </cell>
        </row>
        <row r="4646">
          <cell r="AG4646" t="str">
            <v>ЮНГ</v>
          </cell>
        </row>
        <row r="4647">
          <cell r="AG4647" t="str">
            <v>ЮНГ</v>
          </cell>
        </row>
        <row r="4648">
          <cell r="AG4648" t="str">
            <v>ЮНГ</v>
          </cell>
        </row>
        <row r="4649">
          <cell r="AG4649" t="str">
            <v>ЮНГ</v>
          </cell>
        </row>
        <row r="4650">
          <cell r="AG4650" t="str">
            <v>ЮНГ</v>
          </cell>
        </row>
        <row r="4651">
          <cell r="AG4651" t="str">
            <v>ЮНГ</v>
          </cell>
        </row>
        <row r="4652">
          <cell r="AG4652" t="str">
            <v>ЮНГ</v>
          </cell>
        </row>
        <row r="4653">
          <cell r="AG4653" t="str">
            <v>ЮНГ</v>
          </cell>
        </row>
        <row r="4654">
          <cell r="AG4654" t="str">
            <v>ЮНГ</v>
          </cell>
        </row>
        <row r="4655">
          <cell r="AG4655" t="str">
            <v>ЮНГ</v>
          </cell>
        </row>
        <row r="4656">
          <cell r="AG4656" t="str">
            <v>ЮНГ</v>
          </cell>
        </row>
        <row r="4657">
          <cell r="AG4657" t="str">
            <v>ЮНГ</v>
          </cell>
        </row>
        <row r="4658">
          <cell r="AG4658" t="str">
            <v>ЮНГ</v>
          </cell>
        </row>
        <row r="4659">
          <cell r="AG4659" t="str">
            <v>ЮНГ</v>
          </cell>
        </row>
        <row r="4660">
          <cell r="AG4660" t="str">
            <v>ЮНГ</v>
          </cell>
        </row>
        <row r="4661">
          <cell r="AG4661" t="str">
            <v>ЮНГ</v>
          </cell>
        </row>
        <row r="4662">
          <cell r="AG4662" t="str">
            <v>ЮНГ</v>
          </cell>
        </row>
        <row r="4663">
          <cell r="AG4663" t="str">
            <v>ЮНГ</v>
          </cell>
        </row>
        <row r="4664">
          <cell r="AG4664" t="str">
            <v>ЮНГ</v>
          </cell>
        </row>
        <row r="4665">
          <cell r="AG4665" t="str">
            <v>ЮНГ</v>
          </cell>
        </row>
        <row r="4666">
          <cell r="AG4666" t="str">
            <v>ЮНГ</v>
          </cell>
        </row>
        <row r="4667">
          <cell r="AG4667" t="str">
            <v>ЮНГ</v>
          </cell>
        </row>
        <row r="4668">
          <cell r="AG4668" t="str">
            <v>ЮНГ</v>
          </cell>
        </row>
        <row r="4669">
          <cell r="AG4669" t="str">
            <v>ЮНГ</v>
          </cell>
        </row>
        <row r="4670">
          <cell r="AG4670" t="str">
            <v>ЮНГ</v>
          </cell>
        </row>
        <row r="4671">
          <cell r="AG4671" t="str">
            <v>ЮНГ</v>
          </cell>
        </row>
        <row r="4672">
          <cell r="AG4672" t="str">
            <v>ЮНГ</v>
          </cell>
        </row>
        <row r="4673">
          <cell r="AG4673" t="str">
            <v>ЮНГ</v>
          </cell>
        </row>
        <row r="4674">
          <cell r="AG4674" t="str">
            <v>ЮНГ</v>
          </cell>
        </row>
        <row r="4675">
          <cell r="AG4675" t="str">
            <v>ЮНГ</v>
          </cell>
        </row>
        <row r="4676">
          <cell r="AG4676" t="str">
            <v>ЮНГ</v>
          </cell>
        </row>
        <row r="4677">
          <cell r="AG4677" t="str">
            <v>ЮНГ</v>
          </cell>
        </row>
        <row r="4678">
          <cell r="AG4678" t="str">
            <v>ЮНГ</v>
          </cell>
        </row>
        <row r="4679">
          <cell r="AG4679" t="str">
            <v>ЮНГ</v>
          </cell>
        </row>
        <row r="4680">
          <cell r="AG4680" t="str">
            <v>ЮНГ</v>
          </cell>
        </row>
        <row r="4681">
          <cell r="AG4681" t="str">
            <v>ЮНГ</v>
          </cell>
        </row>
        <row r="4682">
          <cell r="AG4682" t="str">
            <v>ЮНГ</v>
          </cell>
        </row>
        <row r="4683">
          <cell r="AG4683" t="str">
            <v>ЮНГ</v>
          </cell>
        </row>
        <row r="4684">
          <cell r="AG4684" t="str">
            <v>ЮНГ</v>
          </cell>
        </row>
        <row r="4685">
          <cell r="AG4685" t="str">
            <v>ЮНГ</v>
          </cell>
        </row>
        <row r="4686">
          <cell r="AG4686" t="str">
            <v>ЮНГ</v>
          </cell>
        </row>
        <row r="4687">
          <cell r="AG4687" t="str">
            <v>ЮНГ</v>
          </cell>
        </row>
        <row r="4688">
          <cell r="AG4688" t="str">
            <v>ЮНГ</v>
          </cell>
        </row>
        <row r="4689">
          <cell r="AG4689" t="str">
            <v>ЮНГ</v>
          </cell>
        </row>
        <row r="4690">
          <cell r="AG4690" t="str">
            <v>ЮНГ</v>
          </cell>
        </row>
        <row r="4691">
          <cell r="AG4691" t="str">
            <v>ЮНГ</v>
          </cell>
        </row>
        <row r="4692">
          <cell r="AG4692" t="str">
            <v>ЮНГ</v>
          </cell>
        </row>
        <row r="4693">
          <cell r="AG4693" t="str">
            <v>ЮНГ</v>
          </cell>
        </row>
        <row r="4694">
          <cell r="AG4694" t="str">
            <v>ЮНГ</v>
          </cell>
        </row>
        <row r="4695">
          <cell r="AG4695" t="str">
            <v>ЮНГ</v>
          </cell>
        </row>
        <row r="4696">
          <cell r="AG4696" t="str">
            <v>ЮНГ</v>
          </cell>
        </row>
        <row r="4697">
          <cell r="AG4697" t="str">
            <v>ЮНГ</v>
          </cell>
        </row>
        <row r="4698">
          <cell r="AG4698" t="str">
            <v>ЮНГ</v>
          </cell>
        </row>
        <row r="4699">
          <cell r="AG4699" t="str">
            <v>ЮНГ</v>
          </cell>
        </row>
        <row r="4700">
          <cell r="AG4700" t="str">
            <v>ЮНГ</v>
          </cell>
        </row>
        <row r="4701">
          <cell r="AG4701" t="str">
            <v>ЮНГ</v>
          </cell>
        </row>
        <row r="4702">
          <cell r="AG4702" t="str">
            <v>ЮНГ</v>
          </cell>
        </row>
        <row r="4703">
          <cell r="AG4703" t="str">
            <v>ЮНГ</v>
          </cell>
        </row>
        <row r="4704">
          <cell r="AG4704" t="str">
            <v>ЮНГ</v>
          </cell>
        </row>
        <row r="4705">
          <cell r="AG4705" t="str">
            <v>ЮНГ</v>
          </cell>
        </row>
        <row r="4706">
          <cell r="AG4706" t="str">
            <v>ЮНГ</v>
          </cell>
        </row>
        <row r="4707">
          <cell r="AG4707" t="str">
            <v>ЮНГ</v>
          </cell>
        </row>
        <row r="4708">
          <cell r="AG4708" t="str">
            <v>ЮНГ</v>
          </cell>
        </row>
        <row r="4709">
          <cell r="AG4709" t="str">
            <v>ЮНГ</v>
          </cell>
        </row>
        <row r="4710">
          <cell r="AG4710" t="str">
            <v>ЮНГ</v>
          </cell>
        </row>
        <row r="4711">
          <cell r="AG4711" t="str">
            <v>ЮНГ</v>
          </cell>
        </row>
        <row r="4712">
          <cell r="AG4712" t="str">
            <v>ЮНГ</v>
          </cell>
        </row>
        <row r="4713">
          <cell r="AG4713" t="str">
            <v>ЮНГ</v>
          </cell>
        </row>
        <row r="4714">
          <cell r="AG4714" t="str">
            <v>ЮНГ</v>
          </cell>
        </row>
        <row r="4715">
          <cell r="AG4715" t="str">
            <v>ЮНГ</v>
          </cell>
        </row>
        <row r="4716">
          <cell r="AG4716" t="str">
            <v>ЮНГ</v>
          </cell>
        </row>
        <row r="4717">
          <cell r="AG4717" t="str">
            <v>ЮНГ</v>
          </cell>
        </row>
        <row r="4718">
          <cell r="AG4718" t="str">
            <v>ЮНГ</v>
          </cell>
        </row>
        <row r="4719">
          <cell r="AG4719" t="str">
            <v>ЮНГ</v>
          </cell>
        </row>
        <row r="4720">
          <cell r="AG4720" t="str">
            <v>ЮНГ</v>
          </cell>
        </row>
        <row r="4721">
          <cell r="AG4721" t="str">
            <v>ЮНГ</v>
          </cell>
        </row>
        <row r="4722">
          <cell r="AG4722" t="str">
            <v>ЮНГ</v>
          </cell>
        </row>
        <row r="4723">
          <cell r="AG4723" t="str">
            <v>ЮНГ</v>
          </cell>
        </row>
        <row r="4724">
          <cell r="AG4724" t="str">
            <v>ЮНГ</v>
          </cell>
        </row>
        <row r="4725">
          <cell r="AG4725" t="str">
            <v>ЮНГ</v>
          </cell>
        </row>
        <row r="4726">
          <cell r="AG4726" t="str">
            <v>ЮНГ</v>
          </cell>
        </row>
        <row r="4727">
          <cell r="AG4727" t="str">
            <v>ЮНГ</v>
          </cell>
        </row>
        <row r="4728">
          <cell r="AG4728" t="str">
            <v>ЮНГ</v>
          </cell>
        </row>
        <row r="4729">
          <cell r="AG4729" t="str">
            <v>ЮНГ</v>
          </cell>
        </row>
        <row r="4730">
          <cell r="AG4730" t="str">
            <v>ЮНГ</v>
          </cell>
        </row>
        <row r="4731">
          <cell r="AG4731" t="str">
            <v>ЮНГ</v>
          </cell>
        </row>
        <row r="4732">
          <cell r="AG4732" t="str">
            <v>ЮНГ</v>
          </cell>
        </row>
        <row r="4733">
          <cell r="AG4733" t="str">
            <v>ЮНГ</v>
          </cell>
        </row>
        <row r="4734">
          <cell r="AG4734" t="str">
            <v>ЮНГ</v>
          </cell>
        </row>
        <row r="4735">
          <cell r="AG4735" t="str">
            <v>ЮНГ</v>
          </cell>
        </row>
        <row r="4736">
          <cell r="AG4736" t="str">
            <v>ЮНГ</v>
          </cell>
        </row>
        <row r="4737">
          <cell r="AG4737" t="str">
            <v>ЮНГ</v>
          </cell>
        </row>
        <row r="4738">
          <cell r="AG4738" t="str">
            <v>ЮНГ</v>
          </cell>
        </row>
        <row r="4739">
          <cell r="AG4739" t="str">
            <v>ЮНГ</v>
          </cell>
        </row>
        <row r="4740">
          <cell r="AG4740" t="str">
            <v>ЮНГ</v>
          </cell>
        </row>
        <row r="4741">
          <cell r="AG4741" t="str">
            <v>ЮНГ</v>
          </cell>
        </row>
        <row r="4742">
          <cell r="AG4742" t="str">
            <v>ЮНГ</v>
          </cell>
        </row>
        <row r="4743">
          <cell r="AG4743" t="str">
            <v>ЮНГ</v>
          </cell>
        </row>
        <row r="4744">
          <cell r="AG4744" t="str">
            <v>ЮНГ</v>
          </cell>
        </row>
        <row r="4745">
          <cell r="AG4745" t="str">
            <v>ЮНГ</v>
          </cell>
        </row>
        <row r="4746">
          <cell r="AG4746" t="str">
            <v>ЮНГ</v>
          </cell>
        </row>
        <row r="4747">
          <cell r="AG4747" t="str">
            <v>ЮНГ</v>
          </cell>
        </row>
        <row r="4748">
          <cell r="AG4748" t="str">
            <v>ЮНГ</v>
          </cell>
        </row>
        <row r="4749">
          <cell r="AG4749" t="str">
            <v>ЮНГ</v>
          </cell>
        </row>
        <row r="4750">
          <cell r="AG4750" t="str">
            <v>ЮНГ</v>
          </cell>
        </row>
        <row r="4751">
          <cell r="AG4751" t="str">
            <v>ЮНГ</v>
          </cell>
        </row>
        <row r="4752">
          <cell r="AG4752" t="str">
            <v>ЮНГ</v>
          </cell>
        </row>
        <row r="4753">
          <cell r="AG4753" t="str">
            <v>ЮНГ</v>
          </cell>
        </row>
        <row r="4754">
          <cell r="AG4754" t="str">
            <v>ЮНГ</v>
          </cell>
        </row>
        <row r="4755">
          <cell r="AG4755" t="str">
            <v>ЮНГ</v>
          </cell>
        </row>
        <row r="4756">
          <cell r="AG4756" t="str">
            <v>ЮНГ</v>
          </cell>
        </row>
        <row r="4757">
          <cell r="AG4757" t="str">
            <v>ЮНГ</v>
          </cell>
        </row>
        <row r="4758">
          <cell r="AG4758" t="str">
            <v>ЮНГ</v>
          </cell>
        </row>
        <row r="4759">
          <cell r="AG4759" t="str">
            <v>ЮНГ</v>
          </cell>
        </row>
        <row r="4760">
          <cell r="AG4760" t="str">
            <v>ЮНГ</v>
          </cell>
        </row>
        <row r="4761">
          <cell r="AG4761" t="str">
            <v>ЮНГ</v>
          </cell>
        </row>
        <row r="4762">
          <cell r="AG4762" t="str">
            <v>ЮНГ</v>
          </cell>
        </row>
        <row r="4763">
          <cell r="AG4763" t="str">
            <v>ЮНГ</v>
          </cell>
        </row>
        <row r="4764">
          <cell r="AG4764" t="str">
            <v>ЮНГ</v>
          </cell>
        </row>
        <row r="4765">
          <cell r="AG4765" t="str">
            <v>ЮНГ</v>
          </cell>
        </row>
        <row r="4766">
          <cell r="AG4766" t="str">
            <v>ЮНГ</v>
          </cell>
        </row>
        <row r="4767">
          <cell r="AG4767" t="str">
            <v>ЮНГ</v>
          </cell>
        </row>
        <row r="4768">
          <cell r="AG4768" t="str">
            <v>ЮНГ</v>
          </cell>
        </row>
        <row r="4769">
          <cell r="AG4769" t="str">
            <v>ЮНГ</v>
          </cell>
        </row>
        <row r="4770">
          <cell r="AG4770" t="str">
            <v>ЮНГ</v>
          </cell>
        </row>
        <row r="4771">
          <cell r="AG4771" t="str">
            <v>ЮНГ</v>
          </cell>
        </row>
        <row r="4772">
          <cell r="AG4772" t="str">
            <v>ЮНГ</v>
          </cell>
        </row>
        <row r="4773">
          <cell r="AG4773" t="str">
            <v>ЮНГ</v>
          </cell>
        </row>
        <row r="4774">
          <cell r="AG4774" t="str">
            <v>ЮНГ</v>
          </cell>
        </row>
        <row r="4775">
          <cell r="AG4775" t="str">
            <v>ЮНГ</v>
          </cell>
        </row>
        <row r="4776">
          <cell r="AG4776" t="str">
            <v>ЮНГ</v>
          </cell>
        </row>
        <row r="4777">
          <cell r="AG4777" t="str">
            <v>ЮНГ</v>
          </cell>
        </row>
        <row r="4778">
          <cell r="AG4778" t="str">
            <v>ЮНГ</v>
          </cell>
        </row>
        <row r="4779">
          <cell r="AG4779" t="str">
            <v>ЮНГ</v>
          </cell>
        </row>
        <row r="4780">
          <cell r="AG4780" t="str">
            <v>ЮНГ</v>
          </cell>
        </row>
        <row r="4781">
          <cell r="AG4781" t="str">
            <v>ЮНГ</v>
          </cell>
        </row>
        <row r="4782">
          <cell r="AG4782" t="str">
            <v>ЮНГ</v>
          </cell>
        </row>
        <row r="4783">
          <cell r="AG4783" t="str">
            <v>ЮНГ</v>
          </cell>
        </row>
        <row r="4784">
          <cell r="AG4784" t="str">
            <v>ЮНГ</v>
          </cell>
        </row>
        <row r="4785">
          <cell r="AG4785" t="str">
            <v>ЮНГ</v>
          </cell>
        </row>
        <row r="4786">
          <cell r="AG4786" t="str">
            <v>ЮНГ</v>
          </cell>
        </row>
        <row r="4787">
          <cell r="AG4787" t="str">
            <v>ЮНГ</v>
          </cell>
        </row>
        <row r="4788">
          <cell r="AG4788" t="str">
            <v>ЮНГ</v>
          </cell>
        </row>
        <row r="4789">
          <cell r="AG4789" t="str">
            <v>ЮНГ</v>
          </cell>
        </row>
        <row r="4790">
          <cell r="AG4790" t="str">
            <v>ЮНГ</v>
          </cell>
        </row>
        <row r="4791">
          <cell r="AG4791" t="str">
            <v>ЮНГ</v>
          </cell>
        </row>
        <row r="4792">
          <cell r="AG4792" t="str">
            <v>ЮНГ</v>
          </cell>
        </row>
        <row r="4793">
          <cell r="AG4793" t="str">
            <v>ЮНГ</v>
          </cell>
        </row>
        <row r="4794">
          <cell r="AG4794" t="str">
            <v>ЮНГ</v>
          </cell>
        </row>
        <row r="4795">
          <cell r="AG4795" t="str">
            <v>ЮНГ</v>
          </cell>
        </row>
        <row r="4796">
          <cell r="AG4796" t="str">
            <v>ЮНГ</v>
          </cell>
        </row>
        <row r="4797">
          <cell r="AG4797" t="str">
            <v>ЮНГ</v>
          </cell>
        </row>
        <row r="4798">
          <cell r="AG4798" t="str">
            <v>ЮНГ</v>
          </cell>
        </row>
        <row r="4799">
          <cell r="AG4799" t="str">
            <v>ЮНГ</v>
          </cell>
        </row>
        <row r="4800">
          <cell r="AG4800" t="str">
            <v>ЮНГ</v>
          </cell>
        </row>
        <row r="4801">
          <cell r="AG4801" t="str">
            <v>ЮНГ</v>
          </cell>
        </row>
        <row r="4802">
          <cell r="AG4802" t="str">
            <v>ЮНГ</v>
          </cell>
        </row>
        <row r="4803">
          <cell r="AG4803" t="str">
            <v>ЮНГ</v>
          </cell>
        </row>
        <row r="4804">
          <cell r="AG4804" t="str">
            <v>ЮНГ</v>
          </cell>
        </row>
        <row r="4805">
          <cell r="AG4805" t="str">
            <v>ЮНГ</v>
          </cell>
        </row>
        <row r="4806">
          <cell r="AG4806" t="str">
            <v>ЮНГ</v>
          </cell>
        </row>
        <row r="4807">
          <cell r="AG4807" t="str">
            <v>ЮНГ</v>
          </cell>
        </row>
        <row r="4808">
          <cell r="AG4808" t="str">
            <v>ЮНГ</v>
          </cell>
        </row>
        <row r="4809">
          <cell r="AG4809" t="str">
            <v>ЮНГ</v>
          </cell>
        </row>
        <row r="4810">
          <cell r="AG4810" t="str">
            <v>ЮНГ</v>
          </cell>
        </row>
        <row r="4811">
          <cell r="AG4811" t="str">
            <v>ЮНГ</v>
          </cell>
        </row>
        <row r="4812">
          <cell r="AG4812" t="str">
            <v>ЮНГ</v>
          </cell>
        </row>
        <row r="4813">
          <cell r="AG4813" t="str">
            <v>ЮНГ</v>
          </cell>
        </row>
        <row r="4814">
          <cell r="AG4814" t="str">
            <v>ЮНГ</v>
          </cell>
        </row>
        <row r="4815">
          <cell r="AG4815" t="str">
            <v>ЮНГ</v>
          </cell>
        </row>
        <row r="4816">
          <cell r="AG4816" t="str">
            <v>ЮНГ</v>
          </cell>
        </row>
        <row r="4817">
          <cell r="AG4817" t="str">
            <v>ЮНГ</v>
          </cell>
        </row>
        <row r="4818">
          <cell r="AG4818" t="str">
            <v>ЮНГ</v>
          </cell>
        </row>
        <row r="4819">
          <cell r="AG4819" t="str">
            <v>ЮНГ</v>
          </cell>
        </row>
        <row r="4820">
          <cell r="AG4820" t="str">
            <v>ЮНГ</v>
          </cell>
        </row>
        <row r="4821">
          <cell r="AG4821" t="str">
            <v>ЮНГ</v>
          </cell>
        </row>
        <row r="4822">
          <cell r="AG4822" t="str">
            <v>ЮНГ</v>
          </cell>
        </row>
        <row r="4823">
          <cell r="AG4823" t="str">
            <v>ЮНГ</v>
          </cell>
        </row>
        <row r="4824">
          <cell r="AG4824" t="str">
            <v>ЮНГ</v>
          </cell>
        </row>
        <row r="4825">
          <cell r="AG4825" t="str">
            <v>ЮНГ</v>
          </cell>
        </row>
        <row r="4826">
          <cell r="AG4826" t="str">
            <v>ЮНГ</v>
          </cell>
        </row>
        <row r="4827">
          <cell r="AG4827" t="str">
            <v>ЮНГ</v>
          </cell>
        </row>
        <row r="4828">
          <cell r="AG4828" t="str">
            <v>ЮНГ</v>
          </cell>
        </row>
        <row r="4829">
          <cell r="AG4829" t="str">
            <v>ЮНГ</v>
          </cell>
        </row>
        <row r="4830">
          <cell r="AG4830" t="str">
            <v>ЮНГ</v>
          </cell>
        </row>
        <row r="4831">
          <cell r="AG4831" t="str">
            <v>ЮНГ</v>
          </cell>
        </row>
        <row r="4832">
          <cell r="AG4832" t="str">
            <v>ЮНГ</v>
          </cell>
        </row>
        <row r="4833">
          <cell r="AG4833" t="str">
            <v>ЮНГ</v>
          </cell>
        </row>
        <row r="4834">
          <cell r="AG4834" t="str">
            <v>ЮНГ</v>
          </cell>
        </row>
        <row r="4835">
          <cell r="AG4835" t="str">
            <v>ЮНГ</v>
          </cell>
        </row>
        <row r="4836">
          <cell r="AG4836" t="str">
            <v>ЮНГ</v>
          </cell>
        </row>
        <row r="4837">
          <cell r="AG4837" t="str">
            <v>ЮНГ</v>
          </cell>
        </row>
        <row r="4838">
          <cell r="AG4838" t="str">
            <v>ЮНГ</v>
          </cell>
        </row>
        <row r="4839">
          <cell r="AG4839" t="str">
            <v>ЮНГ</v>
          </cell>
        </row>
        <row r="4840">
          <cell r="AG4840" t="str">
            <v>ЮНГ</v>
          </cell>
        </row>
        <row r="4841">
          <cell r="AG4841" t="str">
            <v>ЮНГ</v>
          </cell>
        </row>
        <row r="4842">
          <cell r="AG4842" t="str">
            <v>ЮНГ</v>
          </cell>
        </row>
        <row r="4843">
          <cell r="AG4843" t="str">
            <v>ЮНГ</v>
          </cell>
        </row>
        <row r="4844">
          <cell r="AG4844" t="str">
            <v>ЮНГ</v>
          </cell>
        </row>
        <row r="4845">
          <cell r="AG4845" t="str">
            <v>ЮНГ</v>
          </cell>
        </row>
        <row r="4846">
          <cell r="AG4846" t="str">
            <v>ЮНГ</v>
          </cell>
        </row>
        <row r="4847">
          <cell r="AG4847" t="str">
            <v>ЮНГ</v>
          </cell>
        </row>
        <row r="4848">
          <cell r="AG4848" t="str">
            <v>ЮНГ</v>
          </cell>
        </row>
        <row r="4849">
          <cell r="AG4849" t="str">
            <v>ЮНГ</v>
          </cell>
        </row>
        <row r="4850">
          <cell r="AG4850" t="str">
            <v>ЮНГ</v>
          </cell>
        </row>
        <row r="4851">
          <cell r="AG4851" t="str">
            <v>ЮНГ</v>
          </cell>
        </row>
        <row r="4852">
          <cell r="AG4852" t="str">
            <v>ЮНГ</v>
          </cell>
        </row>
        <row r="4853">
          <cell r="AG4853" t="str">
            <v>ЮНГ</v>
          </cell>
        </row>
        <row r="4854">
          <cell r="AG4854" t="str">
            <v>ЮНГ</v>
          </cell>
        </row>
        <row r="4855">
          <cell r="AG4855" t="str">
            <v>ЮНГ</v>
          </cell>
        </row>
        <row r="4856">
          <cell r="AG4856" t="str">
            <v>ЮНГ</v>
          </cell>
        </row>
        <row r="4857">
          <cell r="AG4857" t="str">
            <v>ЮНГ</v>
          </cell>
        </row>
        <row r="4858">
          <cell r="AG4858" t="str">
            <v>ЮНГ</v>
          </cell>
        </row>
        <row r="4859">
          <cell r="AG4859" t="str">
            <v>ЮНГ</v>
          </cell>
        </row>
        <row r="4860">
          <cell r="AG4860" t="str">
            <v>ЮНГ</v>
          </cell>
        </row>
        <row r="4861">
          <cell r="AG4861" t="str">
            <v>ЮНГ</v>
          </cell>
        </row>
        <row r="4862">
          <cell r="AG4862" t="str">
            <v>ЮНГ</v>
          </cell>
        </row>
        <row r="4863">
          <cell r="AG4863" t="str">
            <v>ЮНГ</v>
          </cell>
        </row>
        <row r="4864">
          <cell r="AG4864" t="str">
            <v>ЮНГ</v>
          </cell>
        </row>
        <row r="4865">
          <cell r="AG4865" t="str">
            <v>ЮНГ</v>
          </cell>
        </row>
        <row r="4866">
          <cell r="AG4866" t="str">
            <v>ЮНГ</v>
          </cell>
        </row>
        <row r="4867">
          <cell r="AG4867" t="str">
            <v>ЮНГ</v>
          </cell>
        </row>
        <row r="4868">
          <cell r="AG4868" t="str">
            <v>ЮНГ</v>
          </cell>
        </row>
        <row r="4869">
          <cell r="AG4869" t="str">
            <v>ЮНГ</v>
          </cell>
        </row>
        <row r="4870">
          <cell r="AG4870" t="str">
            <v>ЮНГ</v>
          </cell>
        </row>
        <row r="4871">
          <cell r="AG4871" t="str">
            <v>ЮНГ</v>
          </cell>
        </row>
        <row r="4872">
          <cell r="AG4872" t="str">
            <v>ЮНГ</v>
          </cell>
        </row>
        <row r="4873">
          <cell r="AG4873" t="str">
            <v>ЮНГ</v>
          </cell>
        </row>
        <row r="4874">
          <cell r="AG4874" t="str">
            <v>ЮНГ</v>
          </cell>
        </row>
        <row r="4875">
          <cell r="AG4875" t="str">
            <v>ЮНГ</v>
          </cell>
        </row>
        <row r="4876">
          <cell r="AG4876" t="str">
            <v>ЮНГ</v>
          </cell>
        </row>
        <row r="4877">
          <cell r="AG4877" t="str">
            <v>ЮНГ</v>
          </cell>
        </row>
        <row r="4878">
          <cell r="AG4878" t="str">
            <v>ЮНГ</v>
          </cell>
        </row>
        <row r="4879">
          <cell r="AG4879" t="str">
            <v>ЮНГ</v>
          </cell>
        </row>
        <row r="4880">
          <cell r="AG4880" t="str">
            <v>ЮНГ</v>
          </cell>
        </row>
        <row r="4881">
          <cell r="AG4881" t="str">
            <v>ЮНГ</v>
          </cell>
        </row>
        <row r="4882">
          <cell r="AG4882" t="str">
            <v>ЮНГ</v>
          </cell>
        </row>
        <row r="4883">
          <cell r="AG4883" t="str">
            <v>ЮНГ</v>
          </cell>
        </row>
        <row r="4884">
          <cell r="AG4884" t="str">
            <v>ЮНГ</v>
          </cell>
        </row>
        <row r="4885">
          <cell r="AG4885" t="str">
            <v>ЮНГ</v>
          </cell>
        </row>
        <row r="4886">
          <cell r="AG4886" t="str">
            <v>ЮНГ</v>
          </cell>
        </row>
        <row r="4887">
          <cell r="AG4887" t="str">
            <v>ЮНГ</v>
          </cell>
        </row>
        <row r="4888">
          <cell r="AG4888" t="str">
            <v>ЮНГ</v>
          </cell>
        </row>
        <row r="4889">
          <cell r="AG4889" t="str">
            <v>ЮНГ</v>
          </cell>
        </row>
        <row r="4890">
          <cell r="AG4890" t="str">
            <v>ЮНГ</v>
          </cell>
        </row>
        <row r="4891">
          <cell r="AG4891" t="str">
            <v>ЮНГ</v>
          </cell>
        </row>
        <row r="4892">
          <cell r="AG4892" t="str">
            <v>ЮНГ</v>
          </cell>
        </row>
        <row r="4893">
          <cell r="AG4893" t="str">
            <v>ЮНГ</v>
          </cell>
        </row>
        <row r="4894">
          <cell r="AG4894" t="str">
            <v>ЮНГ</v>
          </cell>
        </row>
        <row r="4895">
          <cell r="AG4895" t="str">
            <v>ЮНГ</v>
          </cell>
        </row>
        <row r="4896">
          <cell r="AG4896" t="str">
            <v>ЮНГ</v>
          </cell>
        </row>
        <row r="4897">
          <cell r="AG4897" t="str">
            <v>ЮНГ</v>
          </cell>
        </row>
        <row r="4898">
          <cell r="AG4898" t="str">
            <v>ЮНГ</v>
          </cell>
        </row>
        <row r="4899">
          <cell r="AG4899" t="str">
            <v>ЮНГ</v>
          </cell>
        </row>
        <row r="4900">
          <cell r="AG4900" t="str">
            <v>ЮНГ</v>
          </cell>
        </row>
        <row r="4901">
          <cell r="AG4901" t="str">
            <v>ЮНГ</v>
          </cell>
        </row>
        <row r="4902">
          <cell r="AG4902" t="str">
            <v>ЮНГ</v>
          </cell>
        </row>
        <row r="4903">
          <cell r="AG4903" t="str">
            <v>ЮНГ</v>
          </cell>
        </row>
        <row r="4904">
          <cell r="AG4904" t="str">
            <v>ЮНГ</v>
          </cell>
        </row>
        <row r="4905">
          <cell r="AG4905" t="str">
            <v>ЮНГ</v>
          </cell>
        </row>
        <row r="4906">
          <cell r="AG4906" t="str">
            <v>ЮНГ</v>
          </cell>
        </row>
        <row r="4907">
          <cell r="AG4907" t="str">
            <v>ЮНГ</v>
          </cell>
        </row>
        <row r="4908">
          <cell r="AG4908" t="str">
            <v>ЮНГ</v>
          </cell>
        </row>
        <row r="4909">
          <cell r="AG4909" t="str">
            <v>ЮНГ</v>
          </cell>
        </row>
        <row r="4910">
          <cell r="AG4910" t="str">
            <v>ЮНГ</v>
          </cell>
        </row>
        <row r="4911">
          <cell r="AG4911" t="str">
            <v>ЮНГ</v>
          </cell>
        </row>
        <row r="4912">
          <cell r="AG4912" t="str">
            <v>ЮНГ</v>
          </cell>
        </row>
        <row r="4913">
          <cell r="AG4913" t="str">
            <v>ЮНГ</v>
          </cell>
        </row>
        <row r="4914">
          <cell r="AG4914" t="str">
            <v>ЮНГ</v>
          </cell>
        </row>
        <row r="4915">
          <cell r="AG4915" t="str">
            <v>ЮНГ</v>
          </cell>
        </row>
        <row r="4916">
          <cell r="AG4916" t="str">
            <v>ЮНГ</v>
          </cell>
        </row>
        <row r="4917">
          <cell r="AG4917" t="str">
            <v>ЮНГ</v>
          </cell>
        </row>
        <row r="4918">
          <cell r="AG4918" t="str">
            <v>ЮНГ</v>
          </cell>
        </row>
        <row r="4919">
          <cell r="AG4919" t="str">
            <v>ЮНГ</v>
          </cell>
        </row>
        <row r="4920">
          <cell r="AG4920" t="str">
            <v>ЮНГ</v>
          </cell>
        </row>
        <row r="4921">
          <cell r="AG4921" t="str">
            <v>ЮНГ</v>
          </cell>
        </row>
        <row r="4922">
          <cell r="AG4922" t="str">
            <v>ЮНГ</v>
          </cell>
        </row>
        <row r="4923">
          <cell r="AG4923" t="str">
            <v>ЮНГ</v>
          </cell>
        </row>
        <row r="4924">
          <cell r="AG4924" t="str">
            <v>ЮНГ</v>
          </cell>
        </row>
        <row r="4925">
          <cell r="AG4925" t="str">
            <v>ЮНГ</v>
          </cell>
        </row>
        <row r="4926">
          <cell r="AG4926" t="str">
            <v>ЮНГ</v>
          </cell>
        </row>
        <row r="4927">
          <cell r="AG4927" t="str">
            <v>ЮНГ</v>
          </cell>
        </row>
        <row r="4928">
          <cell r="AG4928" t="str">
            <v>ЮНГ</v>
          </cell>
        </row>
        <row r="4929">
          <cell r="AG4929" t="str">
            <v>ЮНГ</v>
          </cell>
        </row>
        <row r="4930">
          <cell r="AG4930" t="str">
            <v>ЮНГ</v>
          </cell>
        </row>
        <row r="4931">
          <cell r="AG4931" t="str">
            <v>ЮНГ</v>
          </cell>
        </row>
        <row r="4932">
          <cell r="AG4932" t="str">
            <v>ЮНГ</v>
          </cell>
        </row>
        <row r="4933">
          <cell r="AG4933" t="str">
            <v>ЮНГ</v>
          </cell>
        </row>
        <row r="4934">
          <cell r="AG4934" t="str">
            <v>ЮНГ</v>
          </cell>
        </row>
        <row r="4935">
          <cell r="AG4935" t="str">
            <v>ЮНГ</v>
          </cell>
        </row>
        <row r="4936">
          <cell r="AG4936" t="str">
            <v>ЮНГ</v>
          </cell>
        </row>
        <row r="4937">
          <cell r="AG4937" t="str">
            <v>ЮНГ</v>
          </cell>
        </row>
        <row r="4938">
          <cell r="AG4938" t="str">
            <v>ЮНГ</v>
          </cell>
        </row>
        <row r="4939">
          <cell r="AG4939" t="str">
            <v>ЮНГ</v>
          </cell>
        </row>
        <row r="4940">
          <cell r="AG4940" t="str">
            <v>ЮНГ</v>
          </cell>
        </row>
        <row r="4941">
          <cell r="AG4941" t="str">
            <v>ЮНГ</v>
          </cell>
        </row>
        <row r="4942">
          <cell r="AG4942" t="str">
            <v>ЮНГ</v>
          </cell>
        </row>
        <row r="4943">
          <cell r="AG4943" t="str">
            <v>ЮНГ</v>
          </cell>
        </row>
        <row r="4944">
          <cell r="AG4944" t="str">
            <v>ЮНГ</v>
          </cell>
        </row>
        <row r="4945">
          <cell r="AG4945" t="str">
            <v>ЮНГ</v>
          </cell>
        </row>
        <row r="4946">
          <cell r="AG4946" t="str">
            <v>ЮНГ</v>
          </cell>
        </row>
        <row r="4947">
          <cell r="AG4947" t="str">
            <v>ЮНГ</v>
          </cell>
        </row>
        <row r="4948">
          <cell r="AG4948" t="str">
            <v>ЮНГ</v>
          </cell>
        </row>
        <row r="4949">
          <cell r="AG4949" t="str">
            <v>ЮНГ</v>
          </cell>
        </row>
        <row r="4950">
          <cell r="AG4950" t="str">
            <v>ЮНГ</v>
          </cell>
        </row>
        <row r="4951">
          <cell r="AG4951" t="str">
            <v>ЮНГ</v>
          </cell>
        </row>
        <row r="4952">
          <cell r="AG4952" t="str">
            <v>ЮНГ</v>
          </cell>
        </row>
        <row r="4953">
          <cell r="AG4953" t="str">
            <v>ЮНГ</v>
          </cell>
        </row>
        <row r="4954">
          <cell r="AG4954" t="str">
            <v>ЮНГ</v>
          </cell>
        </row>
        <row r="4955">
          <cell r="AG4955" t="str">
            <v>ЮНГ</v>
          </cell>
        </row>
        <row r="4956">
          <cell r="AG4956" t="str">
            <v>ЮНГ</v>
          </cell>
        </row>
        <row r="4957">
          <cell r="AG4957" t="str">
            <v>ЮНГ</v>
          </cell>
        </row>
        <row r="4958">
          <cell r="AG4958" t="str">
            <v>ЮНГ</v>
          </cell>
        </row>
        <row r="4959">
          <cell r="AG4959" t="str">
            <v>ЮНГ</v>
          </cell>
        </row>
        <row r="4960">
          <cell r="AG4960" t="str">
            <v>ЮНГ</v>
          </cell>
        </row>
        <row r="4961">
          <cell r="AG4961" t="str">
            <v>ЮНГ</v>
          </cell>
        </row>
        <row r="4962">
          <cell r="AG4962" t="str">
            <v>ЮНГ</v>
          </cell>
        </row>
        <row r="4963">
          <cell r="AG4963" t="str">
            <v>ЮНГ</v>
          </cell>
        </row>
        <row r="4964">
          <cell r="AG4964" t="str">
            <v>ЮНГ</v>
          </cell>
        </row>
        <row r="4965">
          <cell r="AG4965" t="str">
            <v>ЮНГ</v>
          </cell>
        </row>
        <row r="4966">
          <cell r="AG4966" t="str">
            <v>ЮНГ</v>
          </cell>
        </row>
        <row r="4967">
          <cell r="AG4967" t="str">
            <v>ЮНГ</v>
          </cell>
        </row>
        <row r="4968">
          <cell r="AG4968" t="str">
            <v>ЮНГ</v>
          </cell>
        </row>
        <row r="4969">
          <cell r="AG4969" t="str">
            <v>ЮНГ</v>
          </cell>
        </row>
        <row r="4970">
          <cell r="AG4970" t="str">
            <v>ЮНГ</v>
          </cell>
        </row>
        <row r="4971">
          <cell r="AG4971" t="str">
            <v>ЮНГ</v>
          </cell>
        </row>
        <row r="4972">
          <cell r="AG4972" t="str">
            <v>ЮНГ</v>
          </cell>
        </row>
        <row r="4973">
          <cell r="AG4973" t="str">
            <v>ЮНГ</v>
          </cell>
        </row>
        <row r="4974">
          <cell r="AG4974" t="str">
            <v>ЮНГ</v>
          </cell>
        </row>
        <row r="4975">
          <cell r="AG4975" t="str">
            <v>ЮНГ</v>
          </cell>
        </row>
        <row r="4976">
          <cell r="AG4976" t="str">
            <v>ЮНГ</v>
          </cell>
        </row>
        <row r="4977">
          <cell r="AG4977" t="str">
            <v>ЮНГ</v>
          </cell>
        </row>
        <row r="4978">
          <cell r="AG4978" t="str">
            <v>ЮНГ</v>
          </cell>
        </row>
        <row r="4979">
          <cell r="AG4979" t="str">
            <v>ЮНГ</v>
          </cell>
        </row>
        <row r="4980">
          <cell r="AG4980" t="str">
            <v>ЮНГ</v>
          </cell>
        </row>
        <row r="4981">
          <cell r="AG4981" t="str">
            <v>ЮНГ</v>
          </cell>
        </row>
        <row r="4982">
          <cell r="AG4982" t="str">
            <v>ЮНГ</v>
          </cell>
        </row>
        <row r="4983">
          <cell r="AG4983" t="str">
            <v>ЮНГ</v>
          </cell>
        </row>
        <row r="4984">
          <cell r="AG4984" t="str">
            <v>ЮНГ</v>
          </cell>
        </row>
        <row r="4985">
          <cell r="AG4985" t="str">
            <v>ЮНГ</v>
          </cell>
        </row>
        <row r="4986">
          <cell r="AG4986" t="str">
            <v>ЮНГ</v>
          </cell>
        </row>
        <row r="4987">
          <cell r="AG4987" t="str">
            <v>ЮНГ</v>
          </cell>
        </row>
        <row r="4988">
          <cell r="AG4988" t="str">
            <v>ЮНГ</v>
          </cell>
        </row>
        <row r="4989">
          <cell r="AG4989" t="str">
            <v>ЮНГ</v>
          </cell>
        </row>
        <row r="4990">
          <cell r="AG4990" t="str">
            <v>ЮНГ</v>
          </cell>
        </row>
        <row r="4991">
          <cell r="AG4991" t="str">
            <v>ЮНГ</v>
          </cell>
        </row>
        <row r="4992">
          <cell r="AG4992" t="str">
            <v>ЮНГ</v>
          </cell>
        </row>
        <row r="4993">
          <cell r="AG4993" t="str">
            <v>ЮНГ</v>
          </cell>
        </row>
        <row r="4994">
          <cell r="AG4994" t="str">
            <v>ЮНГ</v>
          </cell>
        </row>
        <row r="4995">
          <cell r="AG4995" t="str">
            <v>ЮНГ</v>
          </cell>
        </row>
        <row r="4996">
          <cell r="AG4996" t="str">
            <v>ЮНГ</v>
          </cell>
        </row>
        <row r="4997">
          <cell r="AG4997" t="str">
            <v>ЮНГ</v>
          </cell>
        </row>
        <row r="4998">
          <cell r="AG4998" t="str">
            <v>ЮНГ</v>
          </cell>
        </row>
        <row r="4999">
          <cell r="AG4999" t="str">
            <v>ЮНГ</v>
          </cell>
        </row>
        <row r="5000">
          <cell r="AG5000" t="str">
            <v>ЮНГ</v>
          </cell>
        </row>
        <row r="5001">
          <cell r="AG5001" t="str">
            <v>ЮНГ</v>
          </cell>
        </row>
        <row r="5002">
          <cell r="AG5002" t="str">
            <v>ЮНГ</v>
          </cell>
        </row>
        <row r="5003">
          <cell r="AG5003" t="str">
            <v>ЮНГ</v>
          </cell>
        </row>
        <row r="5004">
          <cell r="AG5004" t="str">
            <v>ЮНГ</v>
          </cell>
        </row>
        <row r="5005">
          <cell r="AG5005" t="str">
            <v>ЮНГ</v>
          </cell>
        </row>
        <row r="5006">
          <cell r="AG5006" t="str">
            <v>ЮНГ</v>
          </cell>
        </row>
        <row r="5007">
          <cell r="AG5007" t="str">
            <v>ЮНГ</v>
          </cell>
        </row>
        <row r="5008">
          <cell r="AG5008" t="str">
            <v>ЮНГ</v>
          </cell>
        </row>
        <row r="5009">
          <cell r="AG5009" t="str">
            <v>ЮНГ</v>
          </cell>
        </row>
        <row r="5010">
          <cell r="AG5010" t="str">
            <v>ЮНГ</v>
          </cell>
        </row>
        <row r="5011">
          <cell r="AG5011" t="str">
            <v>ЮНГ</v>
          </cell>
        </row>
        <row r="5012">
          <cell r="AG5012" t="str">
            <v>ЮНГ</v>
          </cell>
        </row>
        <row r="5013">
          <cell r="AG5013" t="str">
            <v>ЮНГ</v>
          </cell>
        </row>
        <row r="5014">
          <cell r="AG5014" t="str">
            <v>ЮНГ</v>
          </cell>
        </row>
        <row r="5015">
          <cell r="AG5015" t="str">
            <v>ЮНГ</v>
          </cell>
        </row>
        <row r="5016">
          <cell r="AG5016" t="str">
            <v>ЮНГ</v>
          </cell>
        </row>
        <row r="5017">
          <cell r="AG5017" t="str">
            <v>ЮНГ</v>
          </cell>
        </row>
        <row r="5018">
          <cell r="AG5018" t="str">
            <v>ЮНГ</v>
          </cell>
        </row>
        <row r="5019">
          <cell r="AG5019" t="str">
            <v>ЮНГ</v>
          </cell>
        </row>
        <row r="5020">
          <cell r="AG5020" t="str">
            <v>ЮНГ</v>
          </cell>
        </row>
        <row r="5021">
          <cell r="AG5021" t="str">
            <v>ЮНГ</v>
          </cell>
        </row>
        <row r="5022">
          <cell r="AG5022" t="str">
            <v>ЮНГ</v>
          </cell>
        </row>
        <row r="5023">
          <cell r="AG5023" t="str">
            <v>ЮНГ</v>
          </cell>
        </row>
        <row r="5024">
          <cell r="AG5024" t="str">
            <v>ЮНГ</v>
          </cell>
        </row>
        <row r="5025">
          <cell r="AG5025" t="str">
            <v>ЮНГ</v>
          </cell>
        </row>
        <row r="5026">
          <cell r="AG5026" t="str">
            <v>ЮНГ</v>
          </cell>
        </row>
        <row r="5027">
          <cell r="AG5027" t="str">
            <v>ЮНГ</v>
          </cell>
        </row>
        <row r="5028">
          <cell r="AG5028" t="str">
            <v>ЮНГ</v>
          </cell>
        </row>
        <row r="5029">
          <cell r="AG5029" t="str">
            <v>ЮНГ</v>
          </cell>
        </row>
        <row r="5030">
          <cell r="AG5030" t="str">
            <v>ЮНГ</v>
          </cell>
        </row>
        <row r="5031">
          <cell r="AG5031" t="str">
            <v>ЮНГ</v>
          </cell>
        </row>
        <row r="5032">
          <cell r="AG5032" t="str">
            <v>ЮНГ</v>
          </cell>
        </row>
        <row r="5033">
          <cell r="AG5033" t="str">
            <v>ЮНГ</v>
          </cell>
        </row>
        <row r="5034">
          <cell r="AG5034" t="str">
            <v>ЮНГ</v>
          </cell>
        </row>
        <row r="5035">
          <cell r="AG5035" t="str">
            <v>ЮНГ</v>
          </cell>
        </row>
        <row r="5036">
          <cell r="AG5036" t="str">
            <v>ЮНГ</v>
          </cell>
        </row>
        <row r="5037">
          <cell r="AG5037" t="str">
            <v>ЮНГ</v>
          </cell>
        </row>
        <row r="5038">
          <cell r="AG5038" t="str">
            <v>ЮНГ</v>
          </cell>
        </row>
        <row r="5039">
          <cell r="AG5039" t="str">
            <v>ЮНГ</v>
          </cell>
        </row>
        <row r="5040">
          <cell r="AG5040" t="str">
            <v>ЮНГ</v>
          </cell>
        </row>
        <row r="5041">
          <cell r="AG5041" t="str">
            <v>ЮНГ</v>
          </cell>
        </row>
        <row r="5042">
          <cell r="AG5042" t="str">
            <v>ЮНГ</v>
          </cell>
        </row>
        <row r="5043">
          <cell r="AG5043" t="str">
            <v>ЮНГ</v>
          </cell>
        </row>
        <row r="5044">
          <cell r="AG5044" t="str">
            <v>ЮНГ</v>
          </cell>
        </row>
        <row r="5045">
          <cell r="AG5045" t="str">
            <v>ЮНГ</v>
          </cell>
        </row>
        <row r="5046">
          <cell r="AG5046" t="str">
            <v>ЮНГ</v>
          </cell>
        </row>
        <row r="5047">
          <cell r="AG5047" t="str">
            <v>ЮНГ</v>
          </cell>
        </row>
        <row r="5048">
          <cell r="AG5048" t="str">
            <v>ЮНГ</v>
          </cell>
        </row>
        <row r="5049">
          <cell r="AG5049" t="str">
            <v>ЮНГ</v>
          </cell>
        </row>
        <row r="5050">
          <cell r="AG5050" t="str">
            <v>ЮНГ</v>
          </cell>
        </row>
        <row r="5051">
          <cell r="AG5051" t="str">
            <v>ЮНГ</v>
          </cell>
        </row>
        <row r="5052">
          <cell r="AG5052" t="str">
            <v>ЮНГ</v>
          </cell>
        </row>
        <row r="5053">
          <cell r="AG5053" t="str">
            <v>ЮНГ</v>
          </cell>
        </row>
        <row r="5054">
          <cell r="AG5054" t="str">
            <v>ЮНГ</v>
          </cell>
        </row>
        <row r="5055">
          <cell r="AG5055" t="str">
            <v>ЮНГ</v>
          </cell>
        </row>
        <row r="5056">
          <cell r="AG5056" t="str">
            <v>ЮНГ</v>
          </cell>
        </row>
        <row r="5057">
          <cell r="AG5057" t="str">
            <v>ЮНГ</v>
          </cell>
        </row>
        <row r="5058">
          <cell r="AG5058" t="str">
            <v>ЮНГ</v>
          </cell>
        </row>
        <row r="5059">
          <cell r="AG5059" t="str">
            <v>ЮНГ</v>
          </cell>
        </row>
        <row r="5060">
          <cell r="AG5060" t="str">
            <v>ЮНГ</v>
          </cell>
        </row>
        <row r="5061">
          <cell r="AG5061" t="str">
            <v>ЮНГ</v>
          </cell>
        </row>
        <row r="5062">
          <cell r="AG5062" t="str">
            <v>ЮНГ</v>
          </cell>
        </row>
        <row r="5063">
          <cell r="AG5063" t="str">
            <v>ЮНГ</v>
          </cell>
        </row>
        <row r="5064">
          <cell r="AG5064" t="str">
            <v>ЮНГ</v>
          </cell>
        </row>
        <row r="5065">
          <cell r="AG5065" t="str">
            <v>ЮНГ</v>
          </cell>
        </row>
        <row r="5066">
          <cell r="AG5066" t="str">
            <v>ЮНГ</v>
          </cell>
        </row>
        <row r="5067">
          <cell r="AG5067" t="str">
            <v>ЮНГ</v>
          </cell>
        </row>
        <row r="5068">
          <cell r="AG5068" t="str">
            <v>ЮНГ</v>
          </cell>
        </row>
        <row r="5069">
          <cell r="AG5069" t="str">
            <v>ЮНГ</v>
          </cell>
        </row>
        <row r="5070">
          <cell r="AG5070" t="str">
            <v>ЮНГ</v>
          </cell>
        </row>
        <row r="5071">
          <cell r="AG5071" t="str">
            <v>ЮНГ</v>
          </cell>
        </row>
        <row r="5072">
          <cell r="AG5072" t="str">
            <v>ЮНГ</v>
          </cell>
        </row>
        <row r="5073">
          <cell r="AG5073" t="str">
            <v>ЮНГ</v>
          </cell>
        </row>
        <row r="5074">
          <cell r="AG5074" t="str">
            <v>ЮНГ</v>
          </cell>
        </row>
        <row r="5075">
          <cell r="AG5075" t="str">
            <v>ЮНГ</v>
          </cell>
        </row>
        <row r="5076">
          <cell r="AG5076" t="str">
            <v>ЮНГ</v>
          </cell>
        </row>
        <row r="5077">
          <cell r="AG5077" t="str">
            <v>ЮНГ</v>
          </cell>
        </row>
        <row r="5078">
          <cell r="AG5078" t="str">
            <v>ЮНГ</v>
          </cell>
        </row>
        <row r="5079">
          <cell r="AG5079" t="str">
            <v>ЮНГ</v>
          </cell>
        </row>
        <row r="5080">
          <cell r="AG5080" t="str">
            <v>ЮНГ</v>
          </cell>
        </row>
        <row r="5081">
          <cell r="AG5081" t="str">
            <v>ЮНГ</v>
          </cell>
        </row>
        <row r="5082">
          <cell r="AG5082" t="str">
            <v>ЮНГ</v>
          </cell>
        </row>
        <row r="5083">
          <cell r="AG5083" t="str">
            <v>ЮНГ</v>
          </cell>
        </row>
        <row r="5084">
          <cell r="AG5084" t="str">
            <v>ЮНГ</v>
          </cell>
        </row>
        <row r="5085">
          <cell r="AG5085" t="str">
            <v>ЮНГ</v>
          </cell>
        </row>
        <row r="5086">
          <cell r="AG5086" t="str">
            <v>ЮНГ</v>
          </cell>
        </row>
        <row r="5087">
          <cell r="AG5087" t="str">
            <v>ЮНГ</v>
          </cell>
        </row>
        <row r="5088">
          <cell r="AG5088" t="str">
            <v>ЮНГ</v>
          </cell>
        </row>
        <row r="5089">
          <cell r="AG5089" t="str">
            <v>ЮНГ</v>
          </cell>
        </row>
        <row r="5090">
          <cell r="AG5090" t="str">
            <v>ЮНГ</v>
          </cell>
        </row>
        <row r="5091">
          <cell r="AG5091" t="str">
            <v>ЮНГ</v>
          </cell>
        </row>
        <row r="5092">
          <cell r="AG5092" t="str">
            <v>ЮНГ</v>
          </cell>
        </row>
        <row r="5093">
          <cell r="AG5093" t="str">
            <v>ЮНГ</v>
          </cell>
        </row>
        <row r="5094">
          <cell r="AG5094" t="str">
            <v>ЮНГ</v>
          </cell>
        </row>
        <row r="5095">
          <cell r="AG5095" t="str">
            <v>ЮНГ</v>
          </cell>
        </row>
        <row r="5096">
          <cell r="AG5096" t="str">
            <v>ЮНГ</v>
          </cell>
        </row>
        <row r="5097">
          <cell r="AG5097" t="str">
            <v>ЮНГ</v>
          </cell>
        </row>
        <row r="5098">
          <cell r="AG5098" t="str">
            <v>ЮНГ</v>
          </cell>
        </row>
        <row r="5099">
          <cell r="AG5099" t="str">
            <v>ЮНГ</v>
          </cell>
        </row>
        <row r="5100">
          <cell r="AG5100" t="str">
            <v>ЮНГ</v>
          </cell>
        </row>
        <row r="5101">
          <cell r="AG5101" t="str">
            <v>ЮНГ</v>
          </cell>
        </row>
        <row r="5102">
          <cell r="AG5102" t="str">
            <v>ЮНГ</v>
          </cell>
        </row>
        <row r="5103">
          <cell r="AG5103" t="str">
            <v>ЮНГ</v>
          </cell>
        </row>
        <row r="5104">
          <cell r="AG5104" t="str">
            <v>ЮНГ</v>
          </cell>
        </row>
        <row r="5105">
          <cell r="AG5105" t="str">
            <v>ЮНГ</v>
          </cell>
        </row>
        <row r="5106">
          <cell r="AG5106" t="str">
            <v>ЮНГ</v>
          </cell>
        </row>
        <row r="5107">
          <cell r="AG5107" t="str">
            <v>ЮНГ</v>
          </cell>
        </row>
        <row r="5108">
          <cell r="AG5108" t="str">
            <v>ЮНГ</v>
          </cell>
        </row>
        <row r="5109">
          <cell r="AG5109" t="str">
            <v>ЮНГ</v>
          </cell>
        </row>
        <row r="5110">
          <cell r="AG5110" t="str">
            <v>ЮНГ</v>
          </cell>
        </row>
        <row r="5111">
          <cell r="AG5111" t="str">
            <v>ЮНГ</v>
          </cell>
        </row>
        <row r="5112">
          <cell r="AG5112" t="str">
            <v>ЮНГ</v>
          </cell>
        </row>
        <row r="5113">
          <cell r="AG5113" t="str">
            <v>ЮНГ</v>
          </cell>
        </row>
        <row r="5114">
          <cell r="AG5114" t="str">
            <v>ЮНГ</v>
          </cell>
        </row>
        <row r="5115">
          <cell r="AG5115" t="str">
            <v>ЮНГ</v>
          </cell>
        </row>
        <row r="5116">
          <cell r="AG5116" t="str">
            <v>ЮНГ</v>
          </cell>
        </row>
        <row r="5117">
          <cell r="AG5117" t="str">
            <v>ЮНГ</v>
          </cell>
        </row>
        <row r="5118">
          <cell r="AG5118" t="str">
            <v>ЮНГ</v>
          </cell>
        </row>
        <row r="5119">
          <cell r="AG5119" t="str">
            <v>ЮНГ</v>
          </cell>
        </row>
        <row r="5120">
          <cell r="AG5120" t="str">
            <v>ЮНГ</v>
          </cell>
        </row>
        <row r="5121">
          <cell r="AG5121" t="str">
            <v>ЮНГ</v>
          </cell>
        </row>
        <row r="5122">
          <cell r="AG5122" t="str">
            <v>ЮНГ</v>
          </cell>
        </row>
        <row r="5123">
          <cell r="AG5123" t="str">
            <v>ЮНГ</v>
          </cell>
        </row>
        <row r="5124">
          <cell r="AG5124" t="str">
            <v>ЮНГ</v>
          </cell>
        </row>
        <row r="5125">
          <cell r="AG5125" t="str">
            <v>ЮНГ</v>
          </cell>
        </row>
        <row r="5126">
          <cell r="AG5126" t="str">
            <v>ЮНГ</v>
          </cell>
        </row>
        <row r="5127">
          <cell r="AG5127" t="str">
            <v>ЮНГ</v>
          </cell>
        </row>
        <row r="5128">
          <cell r="AG5128" t="str">
            <v>ЮНГ</v>
          </cell>
        </row>
        <row r="5129">
          <cell r="AG5129" t="str">
            <v>ЮНГ</v>
          </cell>
        </row>
        <row r="5130">
          <cell r="AG5130" t="str">
            <v>ЮНГ</v>
          </cell>
        </row>
        <row r="5131">
          <cell r="AG5131" t="str">
            <v>ЮНГ</v>
          </cell>
        </row>
        <row r="5132">
          <cell r="AG5132" t="str">
            <v>ЮНГ</v>
          </cell>
        </row>
        <row r="5133">
          <cell r="AG5133" t="str">
            <v>ЮНГ</v>
          </cell>
        </row>
        <row r="5134">
          <cell r="AG5134" t="str">
            <v>ЮНГ</v>
          </cell>
        </row>
        <row r="5135">
          <cell r="AG5135" t="str">
            <v>ЮНГ</v>
          </cell>
        </row>
        <row r="5136">
          <cell r="AG5136" t="str">
            <v>ЮНГ</v>
          </cell>
        </row>
        <row r="5137">
          <cell r="AG5137" t="str">
            <v>ЮНГ</v>
          </cell>
        </row>
        <row r="5138">
          <cell r="AG5138" t="str">
            <v>ЮНГ</v>
          </cell>
        </row>
        <row r="5139">
          <cell r="AG5139" t="str">
            <v>ЮНГ</v>
          </cell>
        </row>
        <row r="5140">
          <cell r="AG5140" t="str">
            <v>ЮНГ</v>
          </cell>
        </row>
        <row r="5141">
          <cell r="AG5141" t="str">
            <v>ЮНГ</v>
          </cell>
        </row>
        <row r="5142">
          <cell r="AG5142" t="str">
            <v>ЮНГ</v>
          </cell>
        </row>
        <row r="5143">
          <cell r="AG5143" t="str">
            <v>ЮНГ</v>
          </cell>
        </row>
        <row r="5144">
          <cell r="AG5144" t="str">
            <v>ЮНГ</v>
          </cell>
        </row>
        <row r="5145">
          <cell r="AG5145" t="str">
            <v>ЮНГ</v>
          </cell>
        </row>
        <row r="5146">
          <cell r="AG5146" t="str">
            <v>ЮНГ</v>
          </cell>
        </row>
        <row r="5147">
          <cell r="AG5147" t="str">
            <v>ЮНГ</v>
          </cell>
        </row>
        <row r="5148">
          <cell r="AG5148" t="str">
            <v>ЮНГ</v>
          </cell>
        </row>
        <row r="5149">
          <cell r="AG5149" t="str">
            <v>ЮНГ</v>
          </cell>
        </row>
        <row r="5150">
          <cell r="AG5150" t="str">
            <v>ЮНГ</v>
          </cell>
        </row>
        <row r="5151">
          <cell r="AG5151" t="str">
            <v>ЮНГ</v>
          </cell>
        </row>
        <row r="5152">
          <cell r="AG5152" t="str">
            <v>ЮНГ</v>
          </cell>
        </row>
        <row r="5153">
          <cell r="AG5153" t="str">
            <v>ЮНГ</v>
          </cell>
        </row>
        <row r="5154">
          <cell r="AG5154" t="str">
            <v>ЮНГ</v>
          </cell>
        </row>
        <row r="5155">
          <cell r="AG5155" t="str">
            <v>ЮНГ</v>
          </cell>
        </row>
        <row r="5156">
          <cell r="AG5156" t="str">
            <v>ЮНГ</v>
          </cell>
        </row>
        <row r="5157">
          <cell r="AG5157" t="str">
            <v>ЮНГ</v>
          </cell>
        </row>
        <row r="5158">
          <cell r="AG5158" t="str">
            <v>ЮНГ</v>
          </cell>
        </row>
        <row r="5159">
          <cell r="AG5159" t="str">
            <v>ЮНГ</v>
          </cell>
        </row>
        <row r="5160">
          <cell r="AG5160" t="str">
            <v>ЮНГ</v>
          </cell>
        </row>
        <row r="5161">
          <cell r="AG5161" t="str">
            <v>ЮНГ</v>
          </cell>
        </row>
        <row r="5162">
          <cell r="AG5162" t="str">
            <v>ЮНГ</v>
          </cell>
        </row>
        <row r="5163">
          <cell r="AG5163" t="str">
            <v>ЮНГ</v>
          </cell>
        </row>
        <row r="5164">
          <cell r="AG5164" t="str">
            <v>ЮНГ</v>
          </cell>
        </row>
        <row r="5165">
          <cell r="AG5165" t="str">
            <v>ЮНГ</v>
          </cell>
        </row>
        <row r="5166">
          <cell r="AG5166" t="str">
            <v>ЮНГ</v>
          </cell>
        </row>
        <row r="5167">
          <cell r="AG5167" t="str">
            <v>ЮНГ</v>
          </cell>
        </row>
        <row r="5168">
          <cell r="AG5168" t="str">
            <v>ЮНГ</v>
          </cell>
        </row>
        <row r="5169">
          <cell r="AG5169" t="str">
            <v>ЮНГ</v>
          </cell>
        </row>
        <row r="5170">
          <cell r="AG5170" t="str">
            <v>ЮНГ</v>
          </cell>
        </row>
        <row r="5171">
          <cell r="AG5171" t="str">
            <v>ЮНГ</v>
          </cell>
        </row>
        <row r="5172">
          <cell r="AG5172" t="str">
            <v>ЮНГ</v>
          </cell>
        </row>
        <row r="5173">
          <cell r="AG5173" t="str">
            <v>ЮНГ</v>
          </cell>
        </row>
        <row r="5174">
          <cell r="AG5174" t="str">
            <v>ЮНГ</v>
          </cell>
        </row>
        <row r="5175">
          <cell r="AG5175" t="str">
            <v>ЮНГ</v>
          </cell>
        </row>
        <row r="5176">
          <cell r="AG5176" t="str">
            <v>ЮНГ</v>
          </cell>
        </row>
        <row r="5177">
          <cell r="AG5177" t="str">
            <v>ЮНГ</v>
          </cell>
        </row>
        <row r="5178">
          <cell r="AG5178" t="str">
            <v>ЮНГ</v>
          </cell>
        </row>
        <row r="5179">
          <cell r="AG5179" t="str">
            <v>ЮНГ</v>
          </cell>
        </row>
        <row r="5180">
          <cell r="AG5180" t="str">
            <v>ЮНГ</v>
          </cell>
        </row>
        <row r="5181">
          <cell r="AG5181" t="str">
            <v>ЮНГ</v>
          </cell>
        </row>
        <row r="5182">
          <cell r="AG5182" t="str">
            <v>ЮНГ</v>
          </cell>
        </row>
        <row r="5183">
          <cell r="AG5183" t="str">
            <v>ЮНГ</v>
          </cell>
        </row>
        <row r="5184">
          <cell r="AG5184" t="str">
            <v>ЮНГ</v>
          </cell>
        </row>
        <row r="5185">
          <cell r="AG5185" t="str">
            <v>ЮНГ</v>
          </cell>
        </row>
        <row r="5186">
          <cell r="AG5186" t="str">
            <v>ЮНГ</v>
          </cell>
        </row>
        <row r="5187">
          <cell r="AG5187" t="str">
            <v>ЮНГ</v>
          </cell>
        </row>
        <row r="5188">
          <cell r="AG5188" t="str">
            <v>ЮНГ</v>
          </cell>
        </row>
        <row r="5189">
          <cell r="AG5189" t="str">
            <v>ЮНГ</v>
          </cell>
        </row>
        <row r="5190">
          <cell r="AG5190" t="str">
            <v>ЮНГ</v>
          </cell>
        </row>
        <row r="5191">
          <cell r="AG5191" t="str">
            <v>ЮНГ</v>
          </cell>
        </row>
        <row r="5192">
          <cell r="AG5192" t="str">
            <v>ЮНГ</v>
          </cell>
        </row>
        <row r="5193">
          <cell r="AG5193" t="str">
            <v>ЮНГ</v>
          </cell>
        </row>
        <row r="5194">
          <cell r="AG5194" t="str">
            <v>ЮНГ</v>
          </cell>
        </row>
        <row r="5195">
          <cell r="AG5195" t="str">
            <v>ЮНГ</v>
          </cell>
        </row>
        <row r="5196">
          <cell r="AG5196" t="str">
            <v>ЮНГ</v>
          </cell>
        </row>
        <row r="5197">
          <cell r="AG5197" t="str">
            <v>ЮНГ</v>
          </cell>
        </row>
        <row r="5198">
          <cell r="AG5198" t="str">
            <v>ЮНГ</v>
          </cell>
        </row>
        <row r="5199">
          <cell r="AG5199" t="str">
            <v>ЮНГ</v>
          </cell>
        </row>
        <row r="5200">
          <cell r="AG5200" t="str">
            <v>ЮНГ</v>
          </cell>
        </row>
        <row r="5201">
          <cell r="AG5201" t="str">
            <v>ЮНГ</v>
          </cell>
        </row>
        <row r="5202">
          <cell r="AG5202" t="str">
            <v>ЮНГ</v>
          </cell>
        </row>
        <row r="5203">
          <cell r="AG5203" t="str">
            <v>ЮНГ</v>
          </cell>
        </row>
        <row r="5204">
          <cell r="AG5204" t="str">
            <v>ЮНГ</v>
          </cell>
        </row>
        <row r="5205">
          <cell r="AG5205" t="str">
            <v>ЮНГ</v>
          </cell>
        </row>
        <row r="5206">
          <cell r="AG5206" t="str">
            <v>ЮНГ</v>
          </cell>
        </row>
        <row r="5207">
          <cell r="AG5207" t="str">
            <v>ЮНГ</v>
          </cell>
        </row>
        <row r="5208">
          <cell r="AG5208" t="str">
            <v>ЮНГ</v>
          </cell>
        </row>
        <row r="5209">
          <cell r="AG5209" t="str">
            <v>ЮНГ</v>
          </cell>
        </row>
        <row r="5210">
          <cell r="AG5210" t="str">
            <v>ЮНГ</v>
          </cell>
        </row>
        <row r="5211">
          <cell r="AG5211" t="str">
            <v>ЮНГ</v>
          </cell>
        </row>
        <row r="5212">
          <cell r="AG5212" t="str">
            <v>ЮНГ</v>
          </cell>
        </row>
        <row r="5213">
          <cell r="AG5213" t="str">
            <v>ЮНГ</v>
          </cell>
        </row>
        <row r="5214">
          <cell r="AG5214" t="str">
            <v>ЮНГ</v>
          </cell>
        </row>
        <row r="5215">
          <cell r="AG5215" t="str">
            <v>ЮНГ</v>
          </cell>
        </row>
        <row r="5216">
          <cell r="AG5216" t="str">
            <v>ЮНГ</v>
          </cell>
        </row>
        <row r="5217">
          <cell r="AG5217" t="str">
            <v>ЮНГ</v>
          </cell>
        </row>
        <row r="5218">
          <cell r="AG5218" t="str">
            <v>ЮНГ</v>
          </cell>
        </row>
        <row r="5219">
          <cell r="AG5219" t="str">
            <v>ЮНГ</v>
          </cell>
        </row>
        <row r="5220">
          <cell r="AG5220" t="str">
            <v>ЮНГ</v>
          </cell>
        </row>
        <row r="5221">
          <cell r="AG5221" t="str">
            <v>ЮНГ</v>
          </cell>
        </row>
        <row r="5222">
          <cell r="AG5222" t="str">
            <v>ЮНГ</v>
          </cell>
        </row>
        <row r="5223">
          <cell r="AG5223" t="str">
            <v>ЮНГ</v>
          </cell>
        </row>
        <row r="5224">
          <cell r="AG5224" t="str">
            <v>ЮНГ</v>
          </cell>
        </row>
        <row r="5225">
          <cell r="AG5225" t="str">
            <v>ЮНГ</v>
          </cell>
        </row>
        <row r="5226">
          <cell r="AG5226" t="str">
            <v>ЮНГ</v>
          </cell>
        </row>
        <row r="5227">
          <cell r="AG5227" t="str">
            <v>ЮНГ</v>
          </cell>
        </row>
        <row r="5228">
          <cell r="AG5228" t="str">
            <v>ЮНГ</v>
          </cell>
        </row>
        <row r="5229">
          <cell r="AG5229" t="str">
            <v>ЮНГ</v>
          </cell>
        </row>
        <row r="5230">
          <cell r="AG5230" t="str">
            <v>ЮНГ</v>
          </cell>
        </row>
        <row r="5231">
          <cell r="AG5231" t="str">
            <v>ЮНГ</v>
          </cell>
        </row>
        <row r="5232">
          <cell r="AG5232" t="str">
            <v>ЮНГ</v>
          </cell>
        </row>
        <row r="5233">
          <cell r="AG5233" t="str">
            <v>ЮНГ</v>
          </cell>
        </row>
        <row r="5234">
          <cell r="AG5234" t="str">
            <v>ЮНГ</v>
          </cell>
        </row>
        <row r="5235">
          <cell r="AG5235" t="str">
            <v>ЮНГ</v>
          </cell>
        </row>
        <row r="5236">
          <cell r="AG5236" t="str">
            <v>ЮНГ</v>
          </cell>
        </row>
        <row r="5237">
          <cell r="AG5237" t="str">
            <v>ЮНГ</v>
          </cell>
        </row>
        <row r="5238">
          <cell r="AG5238" t="str">
            <v>ЮНГ</v>
          </cell>
        </row>
        <row r="5239">
          <cell r="AG5239" t="str">
            <v>ЮНГ</v>
          </cell>
        </row>
        <row r="5240">
          <cell r="AG5240" t="str">
            <v>ЮНГ</v>
          </cell>
        </row>
        <row r="5241">
          <cell r="AG5241" t="str">
            <v>ЮНГ</v>
          </cell>
        </row>
        <row r="5242">
          <cell r="AG5242" t="str">
            <v>ЮНГ</v>
          </cell>
        </row>
        <row r="5243">
          <cell r="AG5243" t="str">
            <v>ЮНГ</v>
          </cell>
        </row>
        <row r="5244">
          <cell r="AG5244" t="str">
            <v>ЮНГ</v>
          </cell>
        </row>
        <row r="5245">
          <cell r="AG5245" t="str">
            <v>ЮНГ</v>
          </cell>
        </row>
        <row r="5246">
          <cell r="AG5246" t="str">
            <v>ЮНГ</v>
          </cell>
        </row>
        <row r="5247">
          <cell r="AG5247" t="str">
            <v>ЮНГ</v>
          </cell>
        </row>
        <row r="5248">
          <cell r="AG5248" t="str">
            <v>ЮНГ</v>
          </cell>
        </row>
        <row r="5249">
          <cell r="AG5249" t="str">
            <v>ЮНГ</v>
          </cell>
        </row>
        <row r="5250">
          <cell r="AG5250" t="str">
            <v>ЮНГ</v>
          </cell>
        </row>
        <row r="5251">
          <cell r="AG5251" t="str">
            <v>ЮНГ</v>
          </cell>
        </row>
        <row r="5252">
          <cell r="AG5252" t="str">
            <v>ЮНГ</v>
          </cell>
        </row>
        <row r="5253">
          <cell r="AG5253" t="str">
            <v>ЮНГ</v>
          </cell>
        </row>
        <row r="5254">
          <cell r="AG5254" t="str">
            <v>ЮНГ</v>
          </cell>
        </row>
        <row r="5255">
          <cell r="AG5255" t="str">
            <v>ЮНГ</v>
          </cell>
        </row>
        <row r="5256">
          <cell r="AG5256" t="str">
            <v>ЮНГ</v>
          </cell>
        </row>
        <row r="5257">
          <cell r="AG5257" t="str">
            <v>ЮНГ</v>
          </cell>
        </row>
        <row r="5258">
          <cell r="AG5258" t="str">
            <v>ЮНГ</v>
          </cell>
        </row>
        <row r="5259">
          <cell r="AG5259" t="str">
            <v>ЮНГ</v>
          </cell>
        </row>
        <row r="5260">
          <cell r="AG5260" t="str">
            <v>ЮНГ</v>
          </cell>
        </row>
        <row r="5261">
          <cell r="AG5261" t="str">
            <v>ЮНГ</v>
          </cell>
        </row>
        <row r="5262">
          <cell r="AG5262" t="str">
            <v>ЮНГ</v>
          </cell>
        </row>
        <row r="5263">
          <cell r="AG5263" t="str">
            <v>ЮНГ</v>
          </cell>
        </row>
        <row r="5264">
          <cell r="AG5264" t="str">
            <v>ЮНГ</v>
          </cell>
        </row>
        <row r="5265">
          <cell r="AG5265" t="str">
            <v>ЮНГ</v>
          </cell>
        </row>
        <row r="5266">
          <cell r="AG5266" t="str">
            <v>ЮНГ</v>
          </cell>
        </row>
        <row r="5267">
          <cell r="AG5267" t="str">
            <v>ЮНГ</v>
          </cell>
        </row>
        <row r="5268">
          <cell r="AG5268" t="str">
            <v>ЮНГ</v>
          </cell>
        </row>
        <row r="5269">
          <cell r="AG5269" t="str">
            <v>ЮНГ</v>
          </cell>
        </row>
        <row r="5270">
          <cell r="AG5270" t="str">
            <v>ЮНГ</v>
          </cell>
        </row>
        <row r="5271">
          <cell r="AG5271" t="str">
            <v>ЮНГ</v>
          </cell>
        </row>
        <row r="5272">
          <cell r="AG5272" t="str">
            <v>ЮНГ</v>
          </cell>
        </row>
        <row r="5273">
          <cell r="AG5273" t="str">
            <v>ЮНГ</v>
          </cell>
        </row>
        <row r="5274">
          <cell r="AG5274" t="str">
            <v>ЮНГ</v>
          </cell>
        </row>
        <row r="5275">
          <cell r="AG5275" t="str">
            <v>ЮНГ</v>
          </cell>
        </row>
        <row r="5276">
          <cell r="AG5276" t="str">
            <v>ЮНГ</v>
          </cell>
        </row>
        <row r="5277">
          <cell r="AG5277" t="str">
            <v>ЮНГ</v>
          </cell>
        </row>
        <row r="5278">
          <cell r="AG5278" t="str">
            <v>ЮНГ</v>
          </cell>
        </row>
        <row r="5279">
          <cell r="AG5279" t="str">
            <v>ЮНГ</v>
          </cell>
        </row>
        <row r="5280">
          <cell r="AG5280" t="str">
            <v>ЮНГ</v>
          </cell>
        </row>
        <row r="5281">
          <cell r="AG5281" t="str">
            <v>ЮНГ</v>
          </cell>
        </row>
        <row r="5282">
          <cell r="AG5282" t="str">
            <v>ЮНГ</v>
          </cell>
        </row>
        <row r="5283">
          <cell r="AG5283" t="str">
            <v>ЮНГ</v>
          </cell>
        </row>
        <row r="5284">
          <cell r="AG5284" t="str">
            <v>ЮНГ</v>
          </cell>
        </row>
        <row r="5285">
          <cell r="AG5285" t="str">
            <v>ЮНГ</v>
          </cell>
        </row>
        <row r="5286">
          <cell r="AG5286" t="str">
            <v>ЮНГ</v>
          </cell>
        </row>
        <row r="5287">
          <cell r="AG5287" t="str">
            <v>ЮНГ</v>
          </cell>
        </row>
        <row r="5288">
          <cell r="AG5288" t="str">
            <v>ЮНГ</v>
          </cell>
        </row>
        <row r="5289">
          <cell r="AG5289" t="str">
            <v>ЮНГ</v>
          </cell>
        </row>
        <row r="5290">
          <cell r="AG5290" t="str">
            <v>ЮНГ</v>
          </cell>
        </row>
        <row r="5291">
          <cell r="AG5291" t="str">
            <v>ЮНГ</v>
          </cell>
        </row>
        <row r="5292">
          <cell r="AG5292" t="str">
            <v>ЮНГ</v>
          </cell>
        </row>
        <row r="5293">
          <cell r="AG5293" t="str">
            <v>ЮНГ</v>
          </cell>
        </row>
        <row r="5294">
          <cell r="AG5294" t="str">
            <v>ЮНГ</v>
          </cell>
        </row>
        <row r="5295">
          <cell r="AG5295" t="str">
            <v>ЮНГ</v>
          </cell>
        </row>
        <row r="5296">
          <cell r="AG5296" t="str">
            <v>ЮНГ</v>
          </cell>
        </row>
        <row r="5297">
          <cell r="AG5297" t="str">
            <v>ЮНГ</v>
          </cell>
        </row>
        <row r="5298">
          <cell r="AG5298" t="str">
            <v>ЮНГ</v>
          </cell>
        </row>
        <row r="5299">
          <cell r="AG5299" t="str">
            <v>ЮНГ</v>
          </cell>
        </row>
        <row r="5300">
          <cell r="AG5300" t="str">
            <v>ЮНГ</v>
          </cell>
        </row>
        <row r="5301">
          <cell r="AG5301" t="str">
            <v>ЮНГ</v>
          </cell>
        </row>
        <row r="5302">
          <cell r="AG5302" t="str">
            <v>ЮНГ</v>
          </cell>
        </row>
        <row r="5303">
          <cell r="AG5303" t="str">
            <v>ЮНГ</v>
          </cell>
        </row>
        <row r="5304">
          <cell r="AG5304" t="str">
            <v>ЮНГ</v>
          </cell>
        </row>
        <row r="5305">
          <cell r="AG5305" t="str">
            <v>ЮНГ</v>
          </cell>
        </row>
        <row r="5306">
          <cell r="AG5306" t="str">
            <v>ЮНГ</v>
          </cell>
        </row>
        <row r="5307">
          <cell r="AG5307" t="str">
            <v>ЮНГ</v>
          </cell>
        </row>
        <row r="5308">
          <cell r="AG5308" t="str">
            <v>ЮНГ</v>
          </cell>
        </row>
        <row r="5309">
          <cell r="AG5309" t="str">
            <v>ЮНГ</v>
          </cell>
        </row>
        <row r="5310">
          <cell r="AG5310" t="str">
            <v>ЮНГ</v>
          </cell>
        </row>
        <row r="5311">
          <cell r="AG5311" t="str">
            <v>ЮНГ</v>
          </cell>
        </row>
        <row r="5312">
          <cell r="AG5312" t="str">
            <v>ЮНГ</v>
          </cell>
        </row>
        <row r="5313">
          <cell r="AG5313" t="str">
            <v>ЮНГ</v>
          </cell>
        </row>
        <row r="5314">
          <cell r="AG5314" t="str">
            <v>ЮНГ</v>
          </cell>
        </row>
        <row r="5315">
          <cell r="AG5315" t="str">
            <v>ЮНГ</v>
          </cell>
        </row>
        <row r="5316">
          <cell r="AG5316" t="str">
            <v>ЮНГ</v>
          </cell>
        </row>
        <row r="5317">
          <cell r="AG5317" t="str">
            <v>ЮНГ</v>
          </cell>
        </row>
        <row r="5318">
          <cell r="AG5318" t="str">
            <v>ЮНГ</v>
          </cell>
        </row>
        <row r="5319">
          <cell r="AG5319" t="str">
            <v>ЮНГ</v>
          </cell>
        </row>
        <row r="5320">
          <cell r="AG5320" t="str">
            <v>ЮНГ</v>
          </cell>
        </row>
        <row r="5321">
          <cell r="AG5321" t="str">
            <v>ЮНГ</v>
          </cell>
        </row>
        <row r="5322">
          <cell r="AG5322" t="str">
            <v>ЮНГ</v>
          </cell>
        </row>
        <row r="5323">
          <cell r="AG5323" t="str">
            <v>ЮНГ</v>
          </cell>
        </row>
        <row r="5324">
          <cell r="AG5324" t="str">
            <v>ЮНГ</v>
          </cell>
        </row>
        <row r="5325">
          <cell r="AG5325" t="str">
            <v>ЮНГ</v>
          </cell>
        </row>
        <row r="5326">
          <cell r="AG5326" t="str">
            <v>ЮНГ</v>
          </cell>
        </row>
        <row r="5327">
          <cell r="AG5327" t="str">
            <v>ЮНГ</v>
          </cell>
        </row>
        <row r="5328">
          <cell r="AG5328" t="str">
            <v>ЮНГ</v>
          </cell>
        </row>
        <row r="5329">
          <cell r="AG5329" t="str">
            <v>ЮНГ</v>
          </cell>
        </row>
        <row r="5330">
          <cell r="AG5330" t="str">
            <v>ЮНГ</v>
          </cell>
        </row>
        <row r="5331">
          <cell r="AG5331" t="str">
            <v>ЮНГ</v>
          </cell>
        </row>
        <row r="5332">
          <cell r="AG5332" t="str">
            <v>ЮНГ</v>
          </cell>
        </row>
        <row r="5333">
          <cell r="AG5333" t="str">
            <v>ЮНГ</v>
          </cell>
        </row>
        <row r="5334">
          <cell r="AG5334" t="str">
            <v>ЮНГ</v>
          </cell>
        </row>
        <row r="5335">
          <cell r="AG5335" t="str">
            <v>ЮНГ</v>
          </cell>
        </row>
        <row r="5336">
          <cell r="AG5336" t="str">
            <v>ЮНГ</v>
          </cell>
        </row>
        <row r="5337">
          <cell r="AG5337" t="str">
            <v>ЮНГ</v>
          </cell>
        </row>
        <row r="5338">
          <cell r="AG5338" t="str">
            <v>ЮНГ</v>
          </cell>
        </row>
        <row r="5339">
          <cell r="AG5339" t="str">
            <v>ЮНГ</v>
          </cell>
        </row>
        <row r="5340">
          <cell r="AG5340" t="str">
            <v>ЮНГ</v>
          </cell>
        </row>
        <row r="5341">
          <cell r="AG5341" t="str">
            <v>ЮНГ</v>
          </cell>
        </row>
        <row r="5342">
          <cell r="AG5342" t="str">
            <v>ЮНГ</v>
          </cell>
        </row>
        <row r="5343">
          <cell r="AG5343" t="str">
            <v>ЮНГ</v>
          </cell>
        </row>
        <row r="5344">
          <cell r="AG5344" t="str">
            <v>ЮНГ</v>
          </cell>
        </row>
        <row r="5345">
          <cell r="AG5345" t="str">
            <v>ЮНГ</v>
          </cell>
        </row>
        <row r="5346">
          <cell r="AG5346" t="str">
            <v>ЮНГ</v>
          </cell>
        </row>
        <row r="5347">
          <cell r="AG5347" t="str">
            <v>ЮНГ</v>
          </cell>
        </row>
        <row r="5348">
          <cell r="AG5348" t="str">
            <v>ЮНГ</v>
          </cell>
        </row>
        <row r="5349">
          <cell r="AG5349" t="str">
            <v>ЮНГ</v>
          </cell>
        </row>
        <row r="5350">
          <cell r="AG5350" t="str">
            <v>ЮНГ</v>
          </cell>
        </row>
        <row r="5351">
          <cell r="AG5351" t="str">
            <v>ЮНГ</v>
          </cell>
        </row>
        <row r="5352">
          <cell r="AG5352" t="str">
            <v>ЮНГ</v>
          </cell>
        </row>
        <row r="5353">
          <cell r="AG5353" t="str">
            <v>ЮНГ</v>
          </cell>
        </row>
        <row r="5354">
          <cell r="AG5354" t="str">
            <v>ЮНГ</v>
          </cell>
        </row>
        <row r="5355">
          <cell r="AG5355" t="str">
            <v>ЮНГ</v>
          </cell>
        </row>
        <row r="5356">
          <cell r="AG5356" t="str">
            <v>ЮНГ</v>
          </cell>
        </row>
        <row r="5357">
          <cell r="AG5357" t="str">
            <v>ЮНГ</v>
          </cell>
        </row>
        <row r="5358">
          <cell r="AG5358" t="str">
            <v>ЮНГ</v>
          </cell>
        </row>
        <row r="5359">
          <cell r="AG5359" t="str">
            <v>ЮНГ</v>
          </cell>
        </row>
        <row r="5360">
          <cell r="AG5360" t="str">
            <v>ЮНГ</v>
          </cell>
        </row>
        <row r="5361">
          <cell r="AG5361" t="str">
            <v>ЮНГ</v>
          </cell>
        </row>
        <row r="5362">
          <cell r="AG5362" t="str">
            <v>ЮНГ</v>
          </cell>
        </row>
        <row r="5363">
          <cell r="AG5363" t="str">
            <v>ЮНГ</v>
          </cell>
        </row>
        <row r="5364">
          <cell r="AG5364" t="str">
            <v>ЮНГ</v>
          </cell>
        </row>
        <row r="5365">
          <cell r="AG5365" t="str">
            <v>ЮНГ</v>
          </cell>
        </row>
        <row r="5366">
          <cell r="AG5366" t="str">
            <v>ЮНГ</v>
          </cell>
        </row>
        <row r="5367">
          <cell r="AG5367" t="str">
            <v>ЮНГ</v>
          </cell>
        </row>
        <row r="5368">
          <cell r="AG5368" t="str">
            <v>ЮНГ</v>
          </cell>
        </row>
        <row r="5369">
          <cell r="AG5369" t="str">
            <v>ЮНГ</v>
          </cell>
        </row>
        <row r="5370">
          <cell r="AG5370" t="str">
            <v>ЮНГ</v>
          </cell>
        </row>
        <row r="5371">
          <cell r="AG5371" t="str">
            <v>ЮНГ</v>
          </cell>
        </row>
        <row r="5372">
          <cell r="AG5372" t="str">
            <v>ЮНГ</v>
          </cell>
        </row>
        <row r="5373">
          <cell r="AG5373" t="str">
            <v>ЮНГ</v>
          </cell>
        </row>
        <row r="5374">
          <cell r="AG5374" t="str">
            <v>ЮНГ</v>
          </cell>
        </row>
        <row r="5375">
          <cell r="AG5375" t="str">
            <v>ЮНГ</v>
          </cell>
        </row>
        <row r="5376">
          <cell r="AG5376" t="str">
            <v>ЮНГ</v>
          </cell>
        </row>
        <row r="5377">
          <cell r="AG5377" t="str">
            <v>ЮНГ</v>
          </cell>
        </row>
        <row r="5378">
          <cell r="AG5378" t="str">
            <v>ЮНГ</v>
          </cell>
        </row>
        <row r="5379">
          <cell r="AG5379" t="str">
            <v>ЮНГ</v>
          </cell>
        </row>
        <row r="5380">
          <cell r="AG5380" t="str">
            <v>ЮНГ</v>
          </cell>
        </row>
        <row r="5381">
          <cell r="AG5381" t="str">
            <v>ЮНГ</v>
          </cell>
        </row>
        <row r="5382">
          <cell r="AG5382" t="str">
            <v>ЮНГ</v>
          </cell>
        </row>
        <row r="5383">
          <cell r="AG5383" t="str">
            <v>ЮНГ</v>
          </cell>
        </row>
        <row r="5384">
          <cell r="AG5384" t="str">
            <v>ЮНГ</v>
          </cell>
        </row>
        <row r="5385">
          <cell r="AG5385" t="str">
            <v>ЮНГ</v>
          </cell>
        </row>
        <row r="5386">
          <cell r="AG5386" t="str">
            <v>ЮНГ</v>
          </cell>
        </row>
        <row r="5387">
          <cell r="AG5387" t="str">
            <v>ЮНГ</v>
          </cell>
        </row>
        <row r="5388">
          <cell r="AG5388" t="str">
            <v>ЮНГ</v>
          </cell>
        </row>
        <row r="5389">
          <cell r="AG5389" t="str">
            <v>ЮНГ</v>
          </cell>
        </row>
        <row r="5390">
          <cell r="AG5390" t="str">
            <v>ЮНГ</v>
          </cell>
        </row>
        <row r="5391">
          <cell r="AG5391" t="str">
            <v>ЮНГ</v>
          </cell>
        </row>
        <row r="5392">
          <cell r="AG5392" t="str">
            <v>ЮНГ</v>
          </cell>
        </row>
        <row r="5393">
          <cell r="AG5393" t="str">
            <v>ЮНГ</v>
          </cell>
        </row>
        <row r="5394">
          <cell r="AG5394" t="str">
            <v>ЮНГ</v>
          </cell>
        </row>
        <row r="5395">
          <cell r="AG5395" t="str">
            <v>ЮНГ</v>
          </cell>
        </row>
        <row r="5396">
          <cell r="AG5396" t="str">
            <v>ЮНГ</v>
          </cell>
        </row>
        <row r="5397">
          <cell r="AG5397" t="str">
            <v>ЮНГ</v>
          </cell>
        </row>
        <row r="5398">
          <cell r="AG5398" t="str">
            <v>ЮНГ</v>
          </cell>
        </row>
        <row r="5399">
          <cell r="AG5399" t="str">
            <v>ЮНГ</v>
          </cell>
        </row>
        <row r="5400">
          <cell r="AG5400" t="str">
            <v>ЮНГ</v>
          </cell>
        </row>
        <row r="5401">
          <cell r="AG5401" t="str">
            <v>ЮНГ</v>
          </cell>
        </row>
        <row r="5402">
          <cell r="AG5402" t="str">
            <v>ЮНГ</v>
          </cell>
        </row>
        <row r="5403">
          <cell r="AG5403" t="str">
            <v>ЮНГ</v>
          </cell>
        </row>
        <row r="5404">
          <cell r="AG5404" t="str">
            <v>ЮНГ</v>
          </cell>
        </row>
        <row r="5405">
          <cell r="AG5405" t="str">
            <v>ЮНГ</v>
          </cell>
        </row>
        <row r="5406">
          <cell r="AG5406" t="str">
            <v>ЮНГ</v>
          </cell>
        </row>
        <row r="5407">
          <cell r="AG5407" t="str">
            <v>ЮНГ</v>
          </cell>
        </row>
        <row r="5408">
          <cell r="AG5408" t="str">
            <v>ЮНГ</v>
          </cell>
        </row>
        <row r="5409">
          <cell r="AG5409" t="str">
            <v>ЮНГ</v>
          </cell>
        </row>
        <row r="5410">
          <cell r="AG5410" t="str">
            <v>ЮНГ</v>
          </cell>
        </row>
        <row r="5411">
          <cell r="AG5411" t="str">
            <v>ЮНГ</v>
          </cell>
        </row>
        <row r="5412">
          <cell r="AG5412" t="str">
            <v>ЮНГ</v>
          </cell>
        </row>
        <row r="5413">
          <cell r="AG5413" t="str">
            <v>ЮНГ</v>
          </cell>
        </row>
        <row r="5414">
          <cell r="AG5414" t="str">
            <v>ЮНГ</v>
          </cell>
        </row>
        <row r="5415">
          <cell r="AG5415" t="str">
            <v>ЮНГ</v>
          </cell>
        </row>
        <row r="5416">
          <cell r="AG5416" t="str">
            <v>ЮНГ</v>
          </cell>
        </row>
        <row r="5417">
          <cell r="AG5417" t="str">
            <v>ЮНГ</v>
          </cell>
        </row>
        <row r="5418">
          <cell r="AG5418" t="str">
            <v>ЮНГ</v>
          </cell>
        </row>
        <row r="5419">
          <cell r="AG5419" t="str">
            <v>ЮНГ</v>
          </cell>
        </row>
        <row r="5420">
          <cell r="AG5420" t="str">
            <v>ЮНГ</v>
          </cell>
        </row>
        <row r="5421">
          <cell r="AG5421" t="str">
            <v>ЮНГ</v>
          </cell>
        </row>
        <row r="5422">
          <cell r="AG5422" t="str">
            <v>ЮНГ</v>
          </cell>
        </row>
        <row r="5423">
          <cell r="AG5423" t="str">
            <v>ЮНГ</v>
          </cell>
        </row>
        <row r="5424">
          <cell r="AG5424" t="str">
            <v>ЮНГ</v>
          </cell>
        </row>
        <row r="5425">
          <cell r="AG5425" t="str">
            <v>ЮНГ</v>
          </cell>
        </row>
        <row r="5426">
          <cell r="AG5426" t="str">
            <v>ЮНГ</v>
          </cell>
        </row>
        <row r="5427">
          <cell r="AG5427" t="str">
            <v>ЮНГ</v>
          </cell>
        </row>
        <row r="5428">
          <cell r="AG5428" t="str">
            <v>ЮНГ</v>
          </cell>
        </row>
        <row r="5429">
          <cell r="AG5429" t="str">
            <v>ЮНГ</v>
          </cell>
        </row>
        <row r="5430">
          <cell r="AG5430" t="str">
            <v>ЮНГ</v>
          </cell>
        </row>
        <row r="5431">
          <cell r="AG5431" t="str">
            <v>ЮНГ</v>
          </cell>
        </row>
        <row r="5432">
          <cell r="AG5432" t="str">
            <v>ЮНГ</v>
          </cell>
        </row>
        <row r="5433">
          <cell r="AG5433" t="str">
            <v>ЮНГ</v>
          </cell>
        </row>
        <row r="5434">
          <cell r="AG5434" t="str">
            <v>ЮНГ</v>
          </cell>
        </row>
        <row r="5435">
          <cell r="AG5435" t="str">
            <v>ЮНГ</v>
          </cell>
        </row>
        <row r="5436">
          <cell r="AG5436" t="str">
            <v>ЮНГ</v>
          </cell>
        </row>
        <row r="5437">
          <cell r="AG5437" t="str">
            <v>ЮНГ</v>
          </cell>
        </row>
        <row r="5438">
          <cell r="AG5438" t="str">
            <v>ЮНГ</v>
          </cell>
        </row>
        <row r="5439">
          <cell r="AG5439" t="str">
            <v>ЮНГ</v>
          </cell>
        </row>
        <row r="5440">
          <cell r="AG5440" t="str">
            <v>ЮНГ</v>
          </cell>
        </row>
        <row r="5441">
          <cell r="AG5441" t="str">
            <v>ЮНГ</v>
          </cell>
        </row>
        <row r="5442">
          <cell r="AG5442" t="str">
            <v>ЮНГ</v>
          </cell>
        </row>
        <row r="5443">
          <cell r="AG5443" t="str">
            <v>ЮНГ</v>
          </cell>
        </row>
        <row r="5444">
          <cell r="AG5444" t="str">
            <v>ЮНГ</v>
          </cell>
        </row>
        <row r="5445">
          <cell r="AG5445" t="str">
            <v>ЮНГ</v>
          </cell>
        </row>
        <row r="5446">
          <cell r="AG5446" t="str">
            <v>ЮНГ</v>
          </cell>
        </row>
        <row r="5447">
          <cell r="AG5447" t="str">
            <v>ЮНГ</v>
          </cell>
        </row>
        <row r="5448">
          <cell r="AG5448" t="str">
            <v>ЮНГ</v>
          </cell>
        </row>
        <row r="5449">
          <cell r="AG5449" t="str">
            <v>ЮНГ</v>
          </cell>
        </row>
        <row r="5450">
          <cell r="AG5450" t="str">
            <v>ЮНГ</v>
          </cell>
        </row>
        <row r="5451">
          <cell r="AG5451" t="str">
            <v>ЮНГ</v>
          </cell>
        </row>
        <row r="5452">
          <cell r="AG5452" t="str">
            <v>ЮНГ</v>
          </cell>
        </row>
        <row r="5453">
          <cell r="AG5453" t="str">
            <v>ЮНГ</v>
          </cell>
        </row>
        <row r="5454">
          <cell r="AG5454" t="str">
            <v>ЮНГ</v>
          </cell>
        </row>
        <row r="5455">
          <cell r="AG5455" t="str">
            <v>ЮНГ</v>
          </cell>
        </row>
        <row r="5456">
          <cell r="AG5456" t="str">
            <v>ЮНГ</v>
          </cell>
        </row>
        <row r="5457">
          <cell r="AG5457" t="str">
            <v>ЮНГ</v>
          </cell>
        </row>
        <row r="5458">
          <cell r="AG5458" t="str">
            <v>ЮНГ</v>
          </cell>
        </row>
        <row r="5459">
          <cell r="AG5459" t="str">
            <v>ЮНГ</v>
          </cell>
        </row>
        <row r="5460">
          <cell r="AG5460" t="str">
            <v>ЮНГ</v>
          </cell>
        </row>
        <row r="5461">
          <cell r="AG5461" t="str">
            <v>ЮНГ</v>
          </cell>
        </row>
        <row r="5462">
          <cell r="AG5462" t="str">
            <v>ЮНГ</v>
          </cell>
        </row>
        <row r="5463">
          <cell r="AG5463" t="str">
            <v>ЮНГ</v>
          </cell>
        </row>
        <row r="5464">
          <cell r="AG5464" t="str">
            <v>ЮНГ</v>
          </cell>
        </row>
        <row r="5465">
          <cell r="AG5465" t="str">
            <v>ЮНГ</v>
          </cell>
        </row>
        <row r="5466">
          <cell r="AG5466" t="str">
            <v>ЮНГ</v>
          </cell>
        </row>
        <row r="5467">
          <cell r="AG5467" t="str">
            <v>ЮНГ</v>
          </cell>
        </row>
        <row r="5468">
          <cell r="AG5468" t="str">
            <v>ЮНГ</v>
          </cell>
        </row>
        <row r="5469">
          <cell r="AG5469" t="str">
            <v>ЮНГ</v>
          </cell>
        </row>
        <row r="5470">
          <cell r="AG5470" t="str">
            <v>ЮНГ</v>
          </cell>
        </row>
        <row r="5471">
          <cell r="AG5471" t="str">
            <v>ЮНГ</v>
          </cell>
        </row>
        <row r="5472">
          <cell r="AG5472" t="str">
            <v>ЮНГ</v>
          </cell>
        </row>
        <row r="5473">
          <cell r="AG5473" t="str">
            <v>ЮНГ</v>
          </cell>
        </row>
        <row r="5474">
          <cell r="AG5474" t="str">
            <v>ЮНГ</v>
          </cell>
        </row>
        <row r="5475">
          <cell r="AG5475" t="str">
            <v>ЮНГ</v>
          </cell>
        </row>
        <row r="5476">
          <cell r="AG5476" t="str">
            <v>ЮНГ</v>
          </cell>
        </row>
        <row r="5477">
          <cell r="AG5477" t="str">
            <v>ЮНГ</v>
          </cell>
        </row>
        <row r="5478">
          <cell r="AG5478" t="str">
            <v>ЮНГ</v>
          </cell>
        </row>
        <row r="5479">
          <cell r="AG5479" t="str">
            <v>ЮНГ</v>
          </cell>
        </row>
        <row r="5480">
          <cell r="AG5480" t="str">
            <v>ЮНГ</v>
          </cell>
        </row>
        <row r="5481">
          <cell r="AG5481" t="str">
            <v>ЮНГ</v>
          </cell>
        </row>
        <row r="5482">
          <cell r="AG5482" t="str">
            <v>ЮНГ</v>
          </cell>
        </row>
        <row r="5483">
          <cell r="AG5483" t="str">
            <v>ЮНГ</v>
          </cell>
        </row>
        <row r="5484">
          <cell r="AG5484" t="str">
            <v>ЮНГ</v>
          </cell>
        </row>
        <row r="5485">
          <cell r="AG5485" t="str">
            <v>ЮНГ</v>
          </cell>
        </row>
        <row r="5486">
          <cell r="AG5486" t="str">
            <v>ЮНГ</v>
          </cell>
        </row>
        <row r="5487">
          <cell r="AG5487" t="str">
            <v>ЮНГ</v>
          </cell>
        </row>
        <row r="5488">
          <cell r="AG5488" t="str">
            <v>ЮНГ</v>
          </cell>
        </row>
        <row r="5489">
          <cell r="AG5489" t="str">
            <v>ЮНГ</v>
          </cell>
        </row>
        <row r="5490">
          <cell r="AG5490" t="str">
            <v>ЮНГ</v>
          </cell>
        </row>
        <row r="5491">
          <cell r="AG5491" t="str">
            <v>ЮНГ</v>
          </cell>
        </row>
        <row r="5492">
          <cell r="AG5492" t="str">
            <v>ЮНГ</v>
          </cell>
        </row>
        <row r="5493">
          <cell r="AG5493" t="str">
            <v>ЮНГ</v>
          </cell>
        </row>
        <row r="5494">
          <cell r="AG5494" t="str">
            <v>ЮНГ</v>
          </cell>
        </row>
        <row r="5495">
          <cell r="AG5495" t="str">
            <v>ЮНГ</v>
          </cell>
        </row>
        <row r="5496">
          <cell r="AG5496" t="str">
            <v>ЮНГ</v>
          </cell>
        </row>
        <row r="5497">
          <cell r="AG5497" t="str">
            <v>ЮНГ</v>
          </cell>
        </row>
        <row r="5498">
          <cell r="AG5498" t="str">
            <v>ЮНГ</v>
          </cell>
        </row>
        <row r="5499">
          <cell r="AG5499" t="str">
            <v>ЮНГ</v>
          </cell>
        </row>
        <row r="5500">
          <cell r="AG5500" t="str">
            <v>ЮНГ</v>
          </cell>
        </row>
        <row r="5501">
          <cell r="AG5501" t="str">
            <v>ЮНГ</v>
          </cell>
        </row>
        <row r="5502">
          <cell r="AG5502" t="str">
            <v>ЮНГ</v>
          </cell>
        </row>
        <row r="5503">
          <cell r="AG5503" t="str">
            <v>ЮНГ</v>
          </cell>
        </row>
        <row r="5504">
          <cell r="AG5504" t="str">
            <v>ЮНГ</v>
          </cell>
        </row>
        <row r="5505">
          <cell r="AG5505" t="str">
            <v>ЮНГ</v>
          </cell>
        </row>
        <row r="5506">
          <cell r="AG5506" t="str">
            <v>ЮНГ</v>
          </cell>
        </row>
        <row r="5507">
          <cell r="AG5507" t="str">
            <v>ЮНГ</v>
          </cell>
        </row>
        <row r="5508">
          <cell r="AG5508" t="str">
            <v>ЮНГ</v>
          </cell>
        </row>
        <row r="5509">
          <cell r="AG5509" t="str">
            <v>ЮНГ</v>
          </cell>
        </row>
        <row r="5510">
          <cell r="AG5510" t="str">
            <v>ЮНГ</v>
          </cell>
        </row>
        <row r="5511">
          <cell r="AG5511" t="str">
            <v>ЮНГ</v>
          </cell>
        </row>
        <row r="5512">
          <cell r="AG5512" t="str">
            <v>ЮНГ</v>
          </cell>
        </row>
        <row r="5513">
          <cell r="AG5513" t="str">
            <v>ЮНГ</v>
          </cell>
        </row>
        <row r="5514">
          <cell r="AG5514" t="str">
            <v>ЮНГ</v>
          </cell>
        </row>
        <row r="5515">
          <cell r="AG5515" t="str">
            <v>ЮНГ</v>
          </cell>
        </row>
        <row r="5516">
          <cell r="AG5516" t="str">
            <v>ЮНГ</v>
          </cell>
        </row>
        <row r="5517">
          <cell r="AG5517" t="str">
            <v>ЮНГ</v>
          </cell>
        </row>
        <row r="5518">
          <cell r="AG5518" t="str">
            <v>ЮНГ</v>
          </cell>
        </row>
        <row r="5519">
          <cell r="AG5519" t="str">
            <v>ЮНГ</v>
          </cell>
        </row>
        <row r="5520">
          <cell r="AG5520" t="str">
            <v>ЮНГ</v>
          </cell>
        </row>
        <row r="5521">
          <cell r="AG5521" t="str">
            <v>ЮНГ</v>
          </cell>
        </row>
        <row r="5522">
          <cell r="AG5522" t="str">
            <v>ЮНГ</v>
          </cell>
        </row>
        <row r="5523">
          <cell r="AG5523" t="str">
            <v>ЮНГ</v>
          </cell>
        </row>
        <row r="5524">
          <cell r="AG5524" t="str">
            <v>ЮНГ</v>
          </cell>
        </row>
        <row r="5525">
          <cell r="AG5525" t="str">
            <v>ЮНГ</v>
          </cell>
        </row>
        <row r="5526">
          <cell r="AG5526" t="str">
            <v>ЮНГ</v>
          </cell>
        </row>
        <row r="5527">
          <cell r="AG5527" t="str">
            <v>ЮНГ</v>
          </cell>
        </row>
        <row r="5528">
          <cell r="AG5528" t="str">
            <v>ЮНГ</v>
          </cell>
        </row>
        <row r="5529">
          <cell r="AG5529" t="str">
            <v>ЮНГ</v>
          </cell>
        </row>
        <row r="5530">
          <cell r="AG5530" t="str">
            <v>ЮНГ</v>
          </cell>
        </row>
        <row r="5531">
          <cell r="AG5531" t="str">
            <v>ЮНГ</v>
          </cell>
        </row>
        <row r="5532">
          <cell r="AG5532" t="str">
            <v>ЮНГ</v>
          </cell>
        </row>
        <row r="5533">
          <cell r="AG5533" t="str">
            <v>ЮНГ</v>
          </cell>
        </row>
        <row r="5534">
          <cell r="AG5534" t="str">
            <v>ЮНГ</v>
          </cell>
        </row>
        <row r="5535">
          <cell r="AG5535" t="str">
            <v>ЮНГ</v>
          </cell>
        </row>
        <row r="5536">
          <cell r="AG5536" t="str">
            <v>ЮНГ</v>
          </cell>
        </row>
        <row r="5537">
          <cell r="AG5537" t="str">
            <v>ЮНГ</v>
          </cell>
        </row>
        <row r="5538">
          <cell r="AG5538" t="str">
            <v>ЮНГ</v>
          </cell>
        </row>
        <row r="5539">
          <cell r="AG5539" t="str">
            <v>ЮНГ</v>
          </cell>
        </row>
        <row r="5540">
          <cell r="AG5540" t="str">
            <v>ЮНГ</v>
          </cell>
        </row>
        <row r="5541">
          <cell r="AG5541" t="str">
            <v>ЮНГ</v>
          </cell>
        </row>
        <row r="5542">
          <cell r="AG5542" t="str">
            <v>ЮНГ</v>
          </cell>
        </row>
        <row r="5543">
          <cell r="AG5543" t="str">
            <v>ЮНГ</v>
          </cell>
        </row>
        <row r="5544">
          <cell r="AG5544" t="str">
            <v>ЮНГ</v>
          </cell>
        </row>
        <row r="5545">
          <cell r="AG5545" t="str">
            <v>ЮНГ</v>
          </cell>
        </row>
        <row r="5546">
          <cell r="AG5546" t="str">
            <v>ЮНГ</v>
          </cell>
        </row>
        <row r="5547">
          <cell r="AG5547" t="str">
            <v>ЮНГ</v>
          </cell>
        </row>
        <row r="5548">
          <cell r="AG5548" t="str">
            <v>ЮНГ</v>
          </cell>
        </row>
        <row r="5549">
          <cell r="AG5549" t="str">
            <v>ЮНГ</v>
          </cell>
        </row>
        <row r="5550">
          <cell r="AG5550" t="str">
            <v>ЮНГ</v>
          </cell>
        </row>
        <row r="5551">
          <cell r="AG5551" t="str">
            <v>ЮНГ</v>
          </cell>
        </row>
        <row r="5552">
          <cell r="AG5552" t="str">
            <v>ЮНГ</v>
          </cell>
        </row>
        <row r="5553">
          <cell r="AG5553" t="str">
            <v>ЮНГ</v>
          </cell>
        </row>
        <row r="5554">
          <cell r="AG5554" t="str">
            <v>ЮНГ</v>
          </cell>
        </row>
        <row r="5555">
          <cell r="AG5555" t="str">
            <v>ЮНГ</v>
          </cell>
        </row>
        <row r="5556">
          <cell r="AG5556" t="str">
            <v>ЮНГ</v>
          </cell>
        </row>
        <row r="5557">
          <cell r="AG5557" t="str">
            <v>ЮНГ</v>
          </cell>
        </row>
        <row r="5558">
          <cell r="AG5558" t="str">
            <v>ЮНГ</v>
          </cell>
        </row>
        <row r="5559">
          <cell r="AG5559" t="str">
            <v>ЮНГ</v>
          </cell>
        </row>
        <row r="5560">
          <cell r="AG5560" t="str">
            <v>ЮНГ</v>
          </cell>
        </row>
        <row r="5561">
          <cell r="AG5561" t="str">
            <v>ЮНГ</v>
          </cell>
        </row>
        <row r="5562">
          <cell r="AG5562" t="str">
            <v>ЮНГ</v>
          </cell>
        </row>
        <row r="5563">
          <cell r="AG5563" t="str">
            <v>ЮНГ</v>
          </cell>
        </row>
        <row r="5564">
          <cell r="AG5564" t="str">
            <v>ЮНГ</v>
          </cell>
        </row>
        <row r="5565">
          <cell r="AG5565" t="str">
            <v>ЮНГ</v>
          </cell>
        </row>
        <row r="5566">
          <cell r="AG5566" t="str">
            <v>ЮНГ</v>
          </cell>
        </row>
        <row r="5567">
          <cell r="AG5567" t="str">
            <v>ЮНГ</v>
          </cell>
        </row>
        <row r="5568">
          <cell r="AG5568" t="str">
            <v>ЮНГ</v>
          </cell>
        </row>
        <row r="5569">
          <cell r="AG5569" t="str">
            <v>ЮНГ</v>
          </cell>
        </row>
        <row r="5570">
          <cell r="AG5570" t="str">
            <v>ЮНГ</v>
          </cell>
        </row>
        <row r="5571">
          <cell r="AG5571" t="str">
            <v>ЮНГ</v>
          </cell>
        </row>
        <row r="5572">
          <cell r="AG5572" t="str">
            <v>ЮНГ</v>
          </cell>
        </row>
        <row r="5573">
          <cell r="AG5573" t="str">
            <v>ЮНГ</v>
          </cell>
        </row>
        <row r="5574">
          <cell r="AG5574" t="str">
            <v>ЮНГ</v>
          </cell>
        </row>
        <row r="5575">
          <cell r="AG5575" t="str">
            <v>ЮНГ</v>
          </cell>
        </row>
        <row r="5576">
          <cell r="AG5576" t="str">
            <v>ЮНГ</v>
          </cell>
        </row>
        <row r="5577">
          <cell r="AG5577" t="str">
            <v>ЮНГ</v>
          </cell>
        </row>
        <row r="5578">
          <cell r="AG5578" t="str">
            <v>ЮНГ</v>
          </cell>
        </row>
        <row r="5579">
          <cell r="AG5579" t="str">
            <v>ЮНГ</v>
          </cell>
        </row>
        <row r="5580">
          <cell r="AG5580" t="str">
            <v>ЮНГ</v>
          </cell>
        </row>
        <row r="5581">
          <cell r="AG5581" t="str">
            <v>ЮНГ</v>
          </cell>
        </row>
        <row r="5582">
          <cell r="AG5582" t="str">
            <v>ЮНГ</v>
          </cell>
        </row>
        <row r="5583">
          <cell r="AG5583" t="str">
            <v>ЮНГ</v>
          </cell>
        </row>
        <row r="5584">
          <cell r="AG5584" t="str">
            <v>ЮНГ</v>
          </cell>
        </row>
        <row r="5585">
          <cell r="AG5585" t="str">
            <v>ЮНГ</v>
          </cell>
        </row>
        <row r="5586">
          <cell r="AG5586" t="str">
            <v>ЮНГ</v>
          </cell>
        </row>
        <row r="5587">
          <cell r="AG5587" t="str">
            <v>ЮНГ</v>
          </cell>
        </row>
        <row r="5588">
          <cell r="AG5588" t="str">
            <v>ЮНГ</v>
          </cell>
        </row>
        <row r="5589">
          <cell r="AG5589" t="str">
            <v>ЮНГ</v>
          </cell>
        </row>
        <row r="5590">
          <cell r="AG5590" t="str">
            <v>ЮНГ</v>
          </cell>
        </row>
        <row r="5591">
          <cell r="AG5591" t="str">
            <v>ЮНГ</v>
          </cell>
        </row>
        <row r="5592">
          <cell r="AG5592" t="str">
            <v>ЮНГ</v>
          </cell>
        </row>
        <row r="5593">
          <cell r="AG5593" t="str">
            <v>ЮНГ</v>
          </cell>
        </row>
        <row r="5594">
          <cell r="AG5594" t="str">
            <v>ЮНГ</v>
          </cell>
        </row>
        <row r="5595">
          <cell r="AG5595" t="str">
            <v>ЮНГ</v>
          </cell>
        </row>
        <row r="5596">
          <cell r="AG5596" t="str">
            <v>ЮНГ</v>
          </cell>
        </row>
        <row r="5597">
          <cell r="AG5597" t="str">
            <v>ЮНГ</v>
          </cell>
        </row>
        <row r="5598">
          <cell r="AG5598" t="str">
            <v>ЮНГ</v>
          </cell>
        </row>
        <row r="5599">
          <cell r="AG5599" t="str">
            <v>ЮНГ</v>
          </cell>
        </row>
        <row r="5600">
          <cell r="AG5600" t="str">
            <v>ЮНГ</v>
          </cell>
        </row>
        <row r="5601">
          <cell r="AG5601" t="str">
            <v>ЮНГ</v>
          </cell>
        </row>
        <row r="5602">
          <cell r="AG5602" t="str">
            <v>ЮНГ</v>
          </cell>
        </row>
        <row r="5603">
          <cell r="AG5603" t="str">
            <v>ЮНГ</v>
          </cell>
        </row>
        <row r="5604">
          <cell r="AG5604" t="str">
            <v>ЮНГ</v>
          </cell>
        </row>
        <row r="5605">
          <cell r="AG5605" t="str">
            <v>ЮНГ</v>
          </cell>
        </row>
        <row r="5606">
          <cell r="AG5606" t="str">
            <v>ЮНГ</v>
          </cell>
        </row>
        <row r="5607">
          <cell r="AG5607" t="str">
            <v>ЮНГ</v>
          </cell>
        </row>
        <row r="5608">
          <cell r="AG5608" t="str">
            <v>ЮНГ</v>
          </cell>
        </row>
        <row r="5609">
          <cell r="AG5609" t="str">
            <v>ЮНГ</v>
          </cell>
        </row>
        <row r="5610">
          <cell r="AG5610" t="str">
            <v>ЮНГ</v>
          </cell>
        </row>
        <row r="5611">
          <cell r="AG5611" t="str">
            <v>ЮНГ</v>
          </cell>
        </row>
        <row r="5612">
          <cell r="AG5612" t="str">
            <v>ЮНГ</v>
          </cell>
        </row>
        <row r="5613">
          <cell r="AG5613" t="str">
            <v>ЮНГ</v>
          </cell>
        </row>
        <row r="5614">
          <cell r="AG5614" t="str">
            <v>ЮНГ</v>
          </cell>
        </row>
        <row r="5615">
          <cell r="AG5615" t="str">
            <v>ЮНГ</v>
          </cell>
        </row>
        <row r="5616">
          <cell r="AG5616" t="str">
            <v>ЮНГ</v>
          </cell>
        </row>
        <row r="5617">
          <cell r="AG5617" t="str">
            <v>ЮНГ</v>
          </cell>
        </row>
        <row r="5618">
          <cell r="AG5618" t="str">
            <v>ЮНГ</v>
          </cell>
        </row>
        <row r="5619">
          <cell r="AG5619" t="str">
            <v>ЮНГ</v>
          </cell>
        </row>
        <row r="5620">
          <cell r="AG5620" t="str">
            <v>ЮНГ</v>
          </cell>
        </row>
        <row r="5621">
          <cell r="AG5621" t="str">
            <v>ЮНГ</v>
          </cell>
        </row>
        <row r="5622">
          <cell r="AG5622" t="str">
            <v>ЮНГ</v>
          </cell>
        </row>
        <row r="5623">
          <cell r="AG5623" t="str">
            <v>ЮНГ</v>
          </cell>
        </row>
        <row r="5624">
          <cell r="AG5624" t="str">
            <v>ЮНГ</v>
          </cell>
        </row>
        <row r="5625">
          <cell r="AG5625" t="str">
            <v>ЮНГ</v>
          </cell>
        </row>
        <row r="5626">
          <cell r="AG5626" t="str">
            <v>ЮНГ</v>
          </cell>
        </row>
        <row r="5627">
          <cell r="AG5627" t="str">
            <v>ЮНГ</v>
          </cell>
        </row>
        <row r="5628">
          <cell r="AG5628" t="str">
            <v>ЮНГ</v>
          </cell>
        </row>
        <row r="5629">
          <cell r="AG5629" t="str">
            <v>ЮНГ</v>
          </cell>
        </row>
        <row r="5630">
          <cell r="AG5630" t="str">
            <v>ЮНГ</v>
          </cell>
        </row>
        <row r="5631">
          <cell r="AG5631" t="str">
            <v>ЮНГ</v>
          </cell>
        </row>
        <row r="5632">
          <cell r="AG5632" t="str">
            <v>ЮНГ</v>
          </cell>
        </row>
        <row r="5633">
          <cell r="AG5633" t="str">
            <v>ЮНГ</v>
          </cell>
        </row>
        <row r="5634">
          <cell r="AG5634" t="str">
            <v>ЮНГ</v>
          </cell>
        </row>
        <row r="5635">
          <cell r="AG5635" t="str">
            <v>ЮНГ</v>
          </cell>
        </row>
        <row r="5636">
          <cell r="AG5636" t="str">
            <v>ЮНГ</v>
          </cell>
        </row>
        <row r="5637">
          <cell r="AG5637" t="str">
            <v>ЮНГ</v>
          </cell>
        </row>
        <row r="5638">
          <cell r="AG5638" t="str">
            <v>ЮНГ</v>
          </cell>
        </row>
        <row r="5639">
          <cell r="AG5639" t="str">
            <v>ЮНГ</v>
          </cell>
        </row>
        <row r="5640">
          <cell r="AG5640" t="str">
            <v>ЮНГ</v>
          </cell>
        </row>
        <row r="5641">
          <cell r="AG5641" t="str">
            <v>ЮНГ</v>
          </cell>
        </row>
        <row r="5642">
          <cell r="AG5642" t="str">
            <v>ЮНГ</v>
          </cell>
        </row>
        <row r="5643">
          <cell r="AG5643" t="str">
            <v>ЮНГ</v>
          </cell>
        </row>
        <row r="5644">
          <cell r="AG5644" t="str">
            <v>ЮНГ</v>
          </cell>
        </row>
        <row r="5645">
          <cell r="AG5645" t="str">
            <v>ЮНГ</v>
          </cell>
        </row>
        <row r="5646">
          <cell r="AG5646" t="str">
            <v>ЮНГ</v>
          </cell>
        </row>
        <row r="5647">
          <cell r="AG5647" t="str">
            <v>ЮНГ</v>
          </cell>
        </row>
        <row r="5648">
          <cell r="AG5648" t="str">
            <v>ЮНГ</v>
          </cell>
        </row>
        <row r="5649">
          <cell r="AG5649" t="str">
            <v>ЮНГ</v>
          </cell>
        </row>
        <row r="5650">
          <cell r="AG5650" t="str">
            <v>ЮНГ</v>
          </cell>
        </row>
        <row r="5651">
          <cell r="AG5651" t="str">
            <v>ЮНГ</v>
          </cell>
        </row>
        <row r="5652">
          <cell r="AG5652" t="str">
            <v>ЮНГ</v>
          </cell>
        </row>
        <row r="5653">
          <cell r="AG5653" t="str">
            <v>ЮНГ</v>
          </cell>
        </row>
        <row r="5654">
          <cell r="AG5654" t="str">
            <v>ЮНГ</v>
          </cell>
        </row>
        <row r="5655">
          <cell r="AG5655" t="str">
            <v>ЮНГ</v>
          </cell>
        </row>
        <row r="5656">
          <cell r="AG5656" t="str">
            <v>ЮНГ</v>
          </cell>
        </row>
        <row r="5657">
          <cell r="AG5657" t="str">
            <v>ЮНГ</v>
          </cell>
        </row>
        <row r="5658">
          <cell r="AG5658" t="str">
            <v>ЮНГ</v>
          </cell>
        </row>
        <row r="5659">
          <cell r="AG5659" t="str">
            <v>ЮНГ</v>
          </cell>
        </row>
        <row r="5660">
          <cell r="AG5660" t="str">
            <v>ЮНГ</v>
          </cell>
        </row>
        <row r="5661">
          <cell r="AG5661" t="str">
            <v>ЮНГ</v>
          </cell>
        </row>
        <row r="5662">
          <cell r="AG5662" t="str">
            <v>ЮНГ</v>
          </cell>
        </row>
        <row r="5663">
          <cell r="AG5663" t="str">
            <v>ЮНГ</v>
          </cell>
        </row>
        <row r="5664">
          <cell r="AG5664" t="str">
            <v>ЮНГ</v>
          </cell>
        </row>
        <row r="5665">
          <cell r="AG5665" t="str">
            <v>ЮНГ</v>
          </cell>
        </row>
        <row r="5666">
          <cell r="AG5666" t="str">
            <v>ЮНГ</v>
          </cell>
        </row>
        <row r="5667">
          <cell r="AG5667" t="str">
            <v>ЮНГ</v>
          </cell>
        </row>
        <row r="5668">
          <cell r="AG5668" t="str">
            <v>ЮНГ</v>
          </cell>
        </row>
        <row r="5669">
          <cell r="AG5669" t="str">
            <v>ЮНГ</v>
          </cell>
        </row>
        <row r="5670">
          <cell r="AG5670" t="str">
            <v>ЮНГ</v>
          </cell>
        </row>
        <row r="5671">
          <cell r="AG5671" t="str">
            <v>ЮНГ</v>
          </cell>
        </row>
        <row r="5672">
          <cell r="AG5672" t="str">
            <v>ЮНГ</v>
          </cell>
        </row>
        <row r="5673">
          <cell r="AG5673" t="str">
            <v>ЮНГ</v>
          </cell>
        </row>
        <row r="5674">
          <cell r="AG5674" t="str">
            <v>ЮНГ</v>
          </cell>
        </row>
        <row r="5675">
          <cell r="AG5675" t="str">
            <v>ЮНГ</v>
          </cell>
        </row>
        <row r="5676">
          <cell r="AG5676" t="str">
            <v>ЮНГ</v>
          </cell>
        </row>
        <row r="5677">
          <cell r="AG5677" t="str">
            <v>ЮНГ</v>
          </cell>
        </row>
        <row r="5678">
          <cell r="AG5678" t="str">
            <v>ЮНГ</v>
          </cell>
        </row>
        <row r="5679">
          <cell r="AG5679" t="str">
            <v>ЮНГ</v>
          </cell>
        </row>
        <row r="5680">
          <cell r="AG5680" t="str">
            <v>ЮНГ</v>
          </cell>
        </row>
        <row r="5681">
          <cell r="AG5681" t="str">
            <v>ЮНГ</v>
          </cell>
        </row>
        <row r="5682">
          <cell r="AG5682" t="str">
            <v>ЮНГ</v>
          </cell>
        </row>
        <row r="5683">
          <cell r="AG5683" t="str">
            <v>ЮНГ</v>
          </cell>
        </row>
        <row r="5684">
          <cell r="AG5684" t="str">
            <v>ЮНГ</v>
          </cell>
        </row>
        <row r="5685">
          <cell r="AG5685" t="str">
            <v>ЮНГ</v>
          </cell>
        </row>
        <row r="5686">
          <cell r="AG5686" t="str">
            <v>ЮНГ</v>
          </cell>
        </row>
        <row r="5687">
          <cell r="AG5687" t="str">
            <v>ЮНГ</v>
          </cell>
        </row>
        <row r="5688">
          <cell r="AG5688" t="str">
            <v>ЮНГ</v>
          </cell>
        </row>
        <row r="5689">
          <cell r="AG5689" t="str">
            <v>ЮНГ</v>
          </cell>
        </row>
        <row r="5690">
          <cell r="AG5690" t="str">
            <v>ЮНГ</v>
          </cell>
        </row>
        <row r="5691">
          <cell r="AG5691" t="str">
            <v>ЮНГ</v>
          </cell>
        </row>
        <row r="5692">
          <cell r="AG5692" t="str">
            <v>ЮНГ</v>
          </cell>
        </row>
        <row r="5693">
          <cell r="AG5693" t="str">
            <v>ЮНГ</v>
          </cell>
        </row>
        <row r="5694">
          <cell r="AG5694" t="str">
            <v>ЮНГ</v>
          </cell>
        </row>
        <row r="5695">
          <cell r="AG5695" t="str">
            <v>ЮНГ</v>
          </cell>
        </row>
        <row r="5696">
          <cell r="AG5696" t="str">
            <v>ЮНГ</v>
          </cell>
        </row>
        <row r="5697">
          <cell r="AG5697" t="str">
            <v>ЮНГ</v>
          </cell>
        </row>
        <row r="5698">
          <cell r="AG5698" t="str">
            <v>ЮНГ</v>
          </cell>
        </row>
        <row r="5699">
          <cell r="AG5699" t="str">
            <v>ЮНГ</v>
          </cell>
        </row>
        <row r="5700">
          <cell r="AG5700" t="str">
            <v>ЮНГ</v>
          </cell>
        </row>
        <row r="5701">
          <cell r="AG5701" t="str">
            <v>ЮНГ</v>
          </cell>
        </row>
        <row r="5702">
          <cell r="AG5702" t="str">
            <v>ЮНГ</v>
          </cell>
        </row>
        <row r="5703">
          <cell r="AG5703" t="str">
            <v>ЮНГ</v>
          </cell>
        </row>
        <row r="5704">
          <cell r="AG5704" t="str">
            <v>ЮНГ</v>
          </cell>
        </row>
        <row r="5705">
          <cell r="AG5705" t="str">
            <v>ЮНГ</v>
          </cell>
        </row>
        <row r="5706">
          <cell r="AG5706" t="str">
            <v>ЮНГ</v>
          </cell>
        </row>
        <row r="5707">
          <cell r="AG5707" t="str">
            <v>ЮНГ</v>
          </cell>
        </row>
        <row r="5708">
          <cell r="AG5708" t="str">
            <v>ЮНГ</v>
          </cell>
        </row>
        <row r="5709">
          <cell r="AG5709" t="str">
            <v>ЮНГ</v>
          </cell>
        </row>
        <row r="5710">
          <cell r="AG5710" t="str">
            <v>ЮНГ</v>
          </cell>
        </row>
        <row r="5711">
          <cell r="AG5711" t="str">
            <v>ЮНГ</v>
          </cell>
        </row>
        <row r="5712">
          <cell r="AG5712" t="str">
            <v>ЮНГ</v>
          </cell>
        </row>
        <row r="5713">
          <cell r="AG5713" t="str">
            <v>ЮНГ</v>
          </cell>
        </row>
        <row r="5714">
          <cell r="AG5714" t="str">
            <v>ЮНГ</v>
          </cell>
        </row>
        <row r="5715">
          <cell r="AG5715" t="str">
            <v>ЮНГ</v>
          </cell>
        </row>
        <row r="5716">
          <cell r="AG5716" t="str">
            <v>ЮНГ</v>
          </cell>
        </row>
        <row r="5717">
          <cell r="AG5717" t="str">
            <v>ЮНГ</v>
          </cell>
        </row>
        <row r="5718">
          <cell r="AG5718" t="str">
            <v>ЮНГ</v>
          </cell>
        </row>
        <row r="5719">
          <cell r="AG5719" t="str">
            <v>ЮНГ</v>
          </cell>
        </row>
        <row r="5720">
          <cell r="AG5720" t="str">
            <v>ЮНГ</v>
          </cell>
        </row>
        <row r="5721">
          <cell r="AG5721" t="str">
            <v>ЮНГ</v>
          </cell>
        </row>
        <row r="5722">
          <cell r="AG5722" t="str">
            <v>ЮНГ</v>
          </cell>
        </row>
        <row r="5723">
          <cell r="AG5723" t="str">
            <v>ЮНГ</v>
          </cell>
        </row>
        <row r="5724">
          <cell r="AG5724" t="str">
            <v>ЮНГ</v>
          </cell>
        </row>
        <row r="5725">
          <cell r="AG5725" t="str">
            <v>ЮНГ</v>
          </cell>
        </row>
        <row r="5726">
          <cell r="AG5726" t="str">
            <v>ЮНГ</v>
          </cell>
        </row>
        <row r="5727">
          <cell r="AG5727" t="str">
            <v>ЮНГ</v>
          </cell>
        </row>
        <row r="5728">
          <cell r="AG5728" t="str">
            <v>ЮНГ</v>
          </cell>
        </row>
        <row r="5729">
          <cell r="AG5729" t="str">
            <v>ЮНГ</v>
          </cell>
        </row>
        <row r="5730">
          <cell r="AG5730" t="str">
            <v>ЮНГ</v>
          </cell>
        </row>
        <row r="5731">
          <cell r="AG5731" t="str">
            <v>ЮНГ</v>
          </cell>
        </row>
        <row r="5732">
          <cell r="AG5732" t="str">
            <v>ЮНГ</v>
          </cell>
        </row>
        <row r="5733">
          <cell r="AG5733" t="str">
            <v>ЮНГ</v>
          </cell>
        </row>
        <row r="5734">
          <cell r="AG5734" t="str">
            <v>ЮНГ</v>
          </cell>
        </row>
        <row r="5735">
          <cell r="AG5735" t="str">
            <v>ЮНГ</v>
          </cell>
        </row>
        <row r="5736">
          <cell r="AG5736" t="str">
            <v>ЮНГ</v>
          </cell>
        </row>
        <row r="5737">
          <cell r="AG5737" t="str">
            <v>ЮНГ</v>
          </cell>
        </row>
        <row r="5738">
          <cell r="AG5738" t="str">
            <v>ЮНГ</v>
          </cell>
        </row>
        <row r="5739">
          <cell r="AG5739" t="str">
            <v>ЮНГ</v>
          </cell>
        </row>
        <row r="5740">
          <cell r="AG5740" t="str">
            <v>ЮНГ</v>
          </cell>
        </row>
        <row r="5741">
          <cell r="AG5741" t="str">
            <v>ЮНГ</v>
          </cell>
        </row>
        <row r="5742">
          <cell r="AG5742" t="str">
            <v>ЮНГ</v>
          </cell>
        </row>
        <row r="5743">
          <cell r="AG5743" t="str">
            <v>ЮНГ</v>
          </cell>
        </row>
        <row r="5744">
          <cell r="AG5744" t="str">
            <v>ЮНГ</v>
          </cell>
        </row>
        <row r="5745">
          <cell r="AG5745" t="str">
            <v>ЮНГ</v>
          </cell>
        </row>
        <row r="5746">
          <cell r="AG5746" t="str">
            <v>ЮНГ</v>
          </cell>
        </row>
        <row r="5747">
          <cell r="AG5747" t="str">
            <v>ЮНГ</v>
          </cell>
        </row>
        <row r="5748">
          <cell r="AG5748" t="str">
            <v>ЮНГ</v>
          </cell>
        </row>
        <row r="5749">
          <cell r="AG5749" t="str">
            <v>ЮНГ</v>
          </cell>
        </row>
        <row r="5750">
          <cell r="AG5750" t="str">
            <v>ЮНГ</v>
          </cell>
        </row>
        <row r="5751">
          <cell r="AG5751" t="str">
            <v>ЮНГ</v>
          </cell>
        </row>
        <row r="5752">
          <cell r="AG5752" t="str">
            <v>ЮНГ</v>
          </cell>
        </row>
        <row r="5753">
          <cell r="AG5753" t="str">
            <v>ЮНГ</v>
          </cell>
        </row>
        <row r="5754">
          <cell r="AG5754" t="str">
            <v>ЮНГ</v>
          </cell>
        </row>
        <row r="5755">
          <cell r="AG5755" t="str">
            <v>ЮНГ</v>
          </cell>
        </row>
        <row r="5756">
          <cell r="AG5756" t="str">
            <v>ЮНГ</v>
          </cell>
        </row>
        <row r="5757">
          <cell r="AG5757" t="str">
            <v>ЮНГ</v>
          </cell>
        </row>
        <row r="5758">
          <cell r="AG5758" t="str">
            <v>ЮНГ</v>
          </cell>
        </row>
        <row r="5759">
          <cell r="AG5759" t="str">
            <v>ЮНГ</v>
          </cell>
        </row>
        <row r="5760">
          <cell r="AG5760" t="str">
            <v>ЮНГ</v>
          </cell>
        </row>
        <row r="5761">
          <cell r="AG5761" t="str">
            <v>ЮНГ</v>
          </cell>
        </row>
        <row r="5762">
          <cell r="AG5762" t="str">
            <v>ЮНГ</v>
          </cell>
        </row>
        <row r="5763">
          <cell r="AG5763" t="str">
            <v>ЮНГ</v>
          </cell>
        </row>
        <row r="5764">
          <cell r="AG5764" t="str">
            <v>ЮНГ</v>
          </cell>
        </row>
        <row r="5765">
          <cell r="AG5765" t="str">
            <v>ЮНГ</v>
          </cell>
        </row>
        <row r="5766">
          <cell r="AG5766" t="str">
            <v>ЮНГ</v>
          </cell>
        </row>
        <row r="5767">
          <cell r="AG5767" t="str">
            <v>ЮНГ</v>
          </cell>
        </row>
        <row r="5768">
          <cell r="AG5768" t="str">
            <v>ЮНГ</v>
          </cell>
        </row>
        <row r="5769">
          <cell r="AG5769" t="str">
            <v>ЮНГ</v>
          </cell>
        </row>
        <row r="5770">
          <cell r="AG5770" t="str">
            <v>ЮНГ</v>
          </cell>
        </row>
        <row r="5771">
          <cell r="AG5771" t="str">
            <v>ЮНГ</v>
          </cell>
        </row>
        <row r="5772">
          <cell r="AG5772" t="str">
            <v>ЮНГ</v>
          </cell>
        </row>
        <row r="5773">
          <cell r="AG5773" t="str">
            <v>ЮНГ</v>
          </cell>
        </row>
        <row r="5774">
          <cell r="AG5774" t="str">
            <v>ЮНГ</v>
          </cell>
        </row>
        <row r="5775">
          <cell r="AG5775" t="str">
            <v>ЮНГ</v>
          </cell>
        </row>
        <row r="5776">
          <cell r="AG5776" t="str">
            <v>ЮНГ</v>
          </cell>
        </row>
        <row r="5777">
          <cell r="AG5777" t="str">
            <v>ЮНГ</v>
          </cell>
        </row>
        <row r="5778">
          <cell r="AG5778" t="str">
            <v>ЮНГ</v>
          </cell>
        </row>
        <row r="5779">
          <cell r="AG5779" t="str">
            <v>ЮНГ</v>
          </cell>
        </row>
        <row r="5780">
          <cell r="AG5780" t="str">
            <v>ЮНГ</v>
          </cell>
        </row>
        <row r="5781">
          <cell r="AG5781" t="str">
            <v>ЮНГ</v>
          </cell>
        </row>
        <row r="5782">
          <cell r="AG5782" t="str">
            <v>ЮНГ</v>
          </cell>
        </row>
        <row r="5783">
          <cell r="AG5783" t="str">
            <v>ЮНГ</v>
          </cell>
        </row>
        <row r="5784">
          <cell r="AG5784" t="str">
            <v>ЮНГ</v>
          </cell>
        </row>
        <row r="5785">
          <cell r="AG5785" t="str">
            <v>ЮНГ</v>
          </cell>
        </row>
        <row r="5786">
          <cell r="AG5786" t="str">
            <v>ЮНГ</v>
          </cell>
        </row>
        <row r="5787">
          <cell r="AG5787" t="str">
            <v>ЮНГ</v>
          </cell>
        </row>
        <row r="5788">
          <cell r="AG5788" t="str">
            <v>ЮНГ</v>
          </cell>
        </row>
        <row r="5789">
          <cell r="AG5789" t="str">
            <v>ЮНГ</v>
          </cell>
        </row>
        <row r="5790">
          <cell r="AG5790" t="str">
            <v>ЮНГ</v>
          </cell>
        </row>
        <row r="5791">
          <cell r="AG5791" t="str">
            <v>ЮНГ</v>
          </cell>
        </row>
        <row r="5792">
          <cell r="AG5792" t="str">
            <v>ЮНГ</v>
          </cell>
        </row>
        <row r="5793">
          <cell r="AG5793" t="str">
            <v>ЮНГ</v>
          </cell>
        </row>
        <row r="5794">
          <cell r="AG5794" t="str">
            <v>ЮНГ</v>
          </cell>
        </row>
        <row r="5795">
          <cell r="AG5795" t="str">
            <v>ЮНГ</v>
          </cell>
        </row>
        <row r="5796">
          <cell r="AG5796" t="str">
            <v>ЮНГ</v>
          </cell>
        </row>
        <row r="5797">
          <cell r="AG5797" t="str">
            <v>ЮНГ</v>
          </cell>
        </row>
        <row r="5798">
          <cell r="AG5798" t="str">
            <v>ЮНГ</v>
          </cell>
        </row>
        <row r="5799">
          <cell r="AG5799" t="str">
            <v>ЮНГ</v>
          </cell>
        </row>
        <row r="5800">
          <cell r="AG5800" t="str">
            <v>ЮНГ</v>
          </cell>
        </row>
        <row r="5801">
          <cell r="AG5801" t="str">
            <v>ЮНГ</v>
          </cell>
        </row>
        <row r="5802">
          <cell r="AG5802" t="str">
            <v>ЮНГ</v>
          </cell>
        </row>
        <row r="5803">
          <cell r="AG5803" t="str">
            <v>ЮНГ</v>
          </cell>
        </row>
        <row r="5804">
          <cell r="AG5804" t="str">
            <v>ЮНГ</v>
          </cell>
        </row>
        <row r="5805">
          <cell r="AG5805" t="str">
            <v>ЮНГ</v>
          </cell>
        </row>
        <row r="5806">
          <cell r="AG5806" t="str">
            <v>ЮНГ</v>
          </cell>
        </row>
        <row r="5807">
          <cell r="AG5807" t="str">
            <v>ЮНГ</v>
          </cell>
        </row>
        <row r="5808">
          <cell r="AG5808" t="str">
            <v>ЮНГ</v>
          </cell>
        </row>
        <row r="5809">
          <cell r="AG5809" t="str">
            <v>ЮНГ</v>
          </cell>
        </row>
        <row r="5810">
          <cell r="AG5810" t="str">
            <v>ЮНГ</v>
          </cell>
        </row>
        <row r="5811">
          <cell r="AG5811" t="str">
            <v>ЮНГ</v>
          </cell>
        </row>
        <row r="5812">
          <cell r="AG5812" t="str">
            <v>ЮНГ</v>
          </cell>
        </row>
        <row r="5813">
          <cell r="AG5813" t="str">
            <v>ЮНГ</v>
          </cell>
        </row>
        <row r="5814">
          <cell r="AG5814" t="str">
            <v>ЮНГ</v>
          </cell>
        </row>
        <row r="5815">
          <cell r="AG5815" t="str">
            <v>ЮНГ</v>
          </cell>
        </row>
        <row r="5816">
          <cell r="AG5816" t="str">
            <v>ЮНГ</v>
          </cell>
        </row>
        <row r="5817">
          <cell r="AG5817" t="str">
            <v>ЮНГ</v>
          </cell>
        </row>
        <row r="5818">
          <cell r="AG5818" t="str">
            <v>ЮНГ</v>
          </cell>
        </row>
        <row r="5819">
          <cell r="AG5819" t="str">
            <v>ЮНГ</v>
          </cell>
        </row>
        <row r="5820">
          <cell r="AG5820" t="str">
            <v>ЮНГ</v>
          </cell>
        </row>
        <row r="5821">
          <cell r="AG5821" t="str">
            <v>ЮНГ</v>
          </cell>
        </row>
        <row r="5822">
          <cell r="AG5822" t="str">
            <v>ЮНГ</v>
          </cell>
        </row>
        <row r="5823">
          <cell r="AG5823" t="str">
            <v>ЮНГ</v>
          </cell>
        </row>
        <row r="5824">
          <cell r="AG5824" t="str">
            <v>ЮНГ</v>
          </cell>
        </row>
        <row r="5825">
          <cell r="AG5825" t="str">
            <v>ЮНГ</v>
          </cell>
        </row>
        <row r="5826">
          <cell r="AG5826" t="str">
            <v>ЮНГ</v>
          </cell>
        </row>
        <row r="5827">
          <cell r="AG5827" t="str">
            <v>ЮНГ</v>
          </cell>
        </row>
        <row r="5828">
          <cell r="AG5828" t="str">
            <v>ЮНГ</v>
          </cell>
        </row>
        <row r="5829">
          <cell r="AG5829" t="str">
            <v>ЮНГ</v>
          </cell>
        </row>
        <row r="5830">
          <cell r="AG5830" t="str">
            <v>ЮНГ</v>
          </cell>
        </row>
        <row r="5831">
          <cell r="AG5831" t="str">
            <v>ЮНГ</v>
          </cell>
        </row>
        <row r="5832">
          <cell r="AG5832" t="str">
            <v>ЮНГ</v>
          </cell>
        </row>
        <row r="5833">
          <cell r="AG5833" t="str">
            <v>ЮНГ</v>
          </cell>
        </row>
        <row r="5834">
          <cell r="AG5834" t="str">
            <v>ЮНГ</v>
          </cell>
        </row>
        <row r="5835">
          <cell r="AG5835" t="str">
            <v>ЮНГ</v>
          </cell>
        </row>
        <row r="5836">
          <cell r="AG5836" t="str">
            <v>ЮНГ</v>
          </cell>
        </row>
        <row r="5837">
          <cell r="AG5837" t="str">
            <v>ЮНГ</v>
          </cell>
        </row>
        <row r="5838">
          <cell r="AG5838" t="str">
            <v>ЮНГ</v>
          </cell>
        </row>
        <row r="5839">
          <cell r="AG5839" t="str">
            <v>ЮНГ</v>
          </cell>
        </row>
        <row r="5840">
          <cell r="AG5840" t="str">
            <v>ЮНГ</v>
          </cell>
        </row>
        <row r="5841">
          <cell r="AG5841" t="str">
            <v>ЮНГ</v>
          </cell>
        </row>
        <row r="5842">
          <cell r="AG5842" t="str">
            <v>ЮНГ</v>
          </cell>
        </row>
        <row r="5843">
          <cell r="AG5843" t="str">
            <v>ЮНГ</v>
          </cell>
        </row>
        <row r="5844">
          <cell r="AG5844" t="str">
            <v>ЮНГ</v>
          </cell>
        </row>
        <row r="5845">
          <cell r="AG5845" t="str">
            <v>ЮНГ</v>
          </cell>
        </row>
        <row r="5846">
          <cell r="AG5846" t="str">
            <v>ЮНГ</v>
          </cell>
        </row>
        <row r="5847">
          <cell r="AG5847" t="str">
            <v>ЮНГ</v>
          </cell>
        </row>
        <row r="5848">
          <cell r="AG5848" t="str">
            <v>ЮНГ</v>
          </cell>
        </row>
        <row r="5849">
          <cell r="AG5849" t="str">
            <v>ЮНГ</v>
          </cell>
        </row>
        <row r="5850">
          <cell r="AG5850" t="str">
            <v>ЮНГ</v>
          </cell>
        </row>
        <row r="5851">
          <cell r="AG5851" t="str">
            <v>ЮНГ</v>
          </cell>
        </row>
        <row r="5852">
          <cell r="AG5852" t="str">
            <v>ЮНГ</v>
          </cell>
        </row>
        <row r="5853">
          <cell r="AG5853" t="str">
            <v>ЮНГ</v>
          </cell>
        </row>
        <row r="5854">
          <cell r="AG5854" t="str">
            <v>ЮНГ</v>
          </cell>
        </row>
        <row r="5855">
          <cell r="AG5855" t="str">
            <v>ЮНГ</v>
          </cell>
        </row>
        <row r="5856">
          <cell r="AG5856" t="str">
            <v>ЮНГ</v>
          </cell>
        </row>
        <row r="5857">
          <cell r="AG5857" t="str">
            <v>ЮНГ</v>
          </cell>
        </row>
        <row r="5858">
          <cell r="AG5858" t="str">
            <v>ЮНГ</v>
          </cell>
        </row>
        <row r="5859">
          <cell r="AG5859" t="str">
            <v>ЮНГ</v>
          </cell>
        </row>
        <row r="5860">
          <cell r="AG5860" t="str">
            <v>ЮНГ</v>
          </cell>
        </row>
        <row r="5861">
          <cell r="AG5861" t="str">
            <v>ЮНГ</v>
          </cell>
        </row>
        <row r="5862">
          <cell r="AG5862" t="str">
            <v>ЮНГ</v>
          </cell>
        </row>
        <row r="5863">
          <cell r="AG5863" t="str">
            <v>ЮНГ</v>
          </cell>
        </row>
        <row r="5864">
          <cell r="AG5864" t="str">
            <v>ЮНГ</v>
          </cell>
        </row>
        <row r="5865">
          <cell r="AG5865" t="str">
            <v>ЮНГ</v>
          </cell>
        </row>
        <row r="5866">
          <cell r="AG5866" t="str">
            <v>ЮНГ</v>
          </cell>
        </row>
        <row r="5867">
          <cell r="AG5867" t="str">
            <v>ЮНГ</v>
          </cell>
        </row>
        <row r="5868">
          <cell r="AG5868" t="str">
            <v>ЮНГ</v>
          </cell>
        </row>
        <row r="5869">
          <cell r="AG5869" t="str">
            <v>ЮНГ</v>
          </cell>
        </row>
        <row r="5870">
          <cell r="AG5870" t="str">
            <v>ЮНГ</v>
          </cell>
        </row>
        <row r="5871">
          <cell r="AG5871" t="str">
            <v>ЮНГ</v>
          </cell>
        </row>
        <row r="5872">
          <cell r="AG5872" t="str">
            <v>ЮНГ</v>
          </cell>
        </row>
        <row r="5873">
          <cell r="AG5873" t="str">
            <v>ЮНГ</v>
          </cell>
        </row>
        <row r="5874">
          <cell r="AG5874" t="str">
            <v>ЮНГ</v>
          </cell>
        </row>
        <row r="5875">
          <cell r="AG5875" t="str">
            <v>ЮНГ</v>
          </cell>
        </row>
        <row r="5876">
          <cell r="AG5876" t="str">
            <v>ЮНГ</v>
          </cell>
        </row>
        <row r="5877">
          <cell r="AG5877" t="str">
            <v>ЮНГ</v>
          </cell>
        </row>
        <row r="5878">
          <cell r="AG5878" t="str">
            <v>ЮНГ</v>
          </cell>
        </row>
        <row r="5879">
          <cell r="AG5879" t="str">
            <v>ЮНГ</v>
          </cell>
        </row>
        <row r="5880">
          <cell r="AG5880" t="str">
            <v>ЮНГ</v>
          </cell>
        </row>
        <row r="5881">
          <cell r="AG5881" t="str">
            <v>ЮНГ</v>
          </cell>
        </row>
        <row r="5882">
          <cell r="AG5882" t="str">
            <v>ЮНГ</v>
          </cell>
        </row>
        <row r="5883">
          <cell r="AG5883" t="str">
            <v>ЮНГ</v>
          </cell>
        </row>
        <row r="5884">
          <cell r="AG5884" t="str">
            <v>ЮНГ</v>
          </cell>
        </row>
        <row r="5885">
          <cell r="AG5885" t="str">
            <v>ЮНГ</v>
          </cell>
        </row>
        <row r="5886">
          <cell r="AG5886" t="str">
            <v>ЮНГ</v>
          </cell>
        </row>
        <row r="5887">
          <cell r="AG5887" t="str">
            <v>ЮНГ</v>
          </cell>
        </row>
        <row r="5888">
          <cell r="AG5888" t="str">
            <v>ЮНГ</v>
          </cell>
        </row>
        <row r="5889">
          <cell r="AG5889" t="str">
            <v>ЮНГ</v>
          </cell>
        </row>
        <row r="5890">
          <cell r="AG5890" t="str">
            <v>ЮНГ</v>
          </cell>
        </row>
        <row r="5891">
          <cell r="AG5891" t="str">
            <v>ЮНГ</v>
          </cell>
        </row>
        <row r="5892">
          <cell r="AG5892" t="str">
            <v>ЮНГ</v>
          </cell>
        </row>
        <row r="5893">
          <cell r="AG5893" t="str">
            <v>ЮНГ</v>
          </cell>
        </row>
        <row r="5894">
          <cell r="AG5894" t="str">
            <v>ЮНГ</v>
          </cell>
        </row>
        <row r="5895">
          <cell r="AG5895" t="str">
            <v>ЮНГ</v>
          </cell>
        </row>
        <row r="5896">
          <cell r="AG5896" t="str">
            <v>ЮНГ</v>
          </cell>
        </row>
        <row r="5897">
          <cell r="AG5897" t="str">
            <v>ЮНГ</v>
          </cell>
        </row>
        <row r="5898">
          <cell r="AG5898" t="str">
            <v>ЮНГ</v>
          </cell>
        </row>
        <row r="5899">
          <cell r="AG5899" t="str">
            <v>ЮНГ</v>
          </cell>
        </row>
        <row r="5900">
          <cell r="AG5900" t="str">
            <v>ЮНГ</v>
          </cell>
        </row>
        <row r="5901">
          <cell r="AG5901" t="str">
            <v>ЮНГ</v>
          </cell>
        </row>
        <row r="5902">
          <cell r="AG5902" t="str">
            <v>ЮНГ</v>
          </cell>
        </row>
        <row r="5903">
          <cell r="AG5903" t="str">
            <v>ЮНГ</v>
          </cell>
        </row>
        <row r="5904">
          <cell r="AG5904" t="str">
            <v>ЮНГ</v>
          </cell>
        </row>
        <row r="5905">
          <cell r="AG5905" t="str">
            <v>ЮНГ</v>
          </cell>
        </row>
        <row r="5906">
          <cell r="AG5906" t="str">
            <v>ЮНГ</v>
          </cell>
        </row>
        <row r="5907">
          <cell r="AG5907" t="str">
            <v>ЮНГ</v>
          </cell>
        </row>
        <row r="5908">
          <cell r="AG5908" t="str">
            <v>ЮНГ</v>
          </cell>
        </row>
        <row r="5909">
          <cell r="AG5909" t="str">
            <v>ЮНГ</v>
          </cell>
        </row>
        <row r="5910">
          <cell r="AG5910" t="str">
            <v>ЮНГ</v>
          </cell>
        </row>
        <row r="5911">
          <cell r="AG5911" t="str">
            <v>ЮНГ</v>
          </cell>
        </row>
        <row r="5912">
          <cell r="AG5912" t="str">
            <v>ЮНГ</v>
          </cell>
        </row>
        <row r="5913">
          <cell r="AG5913" t="str">
            <v>ЮНГ</v>
          </cell>
        </row>
        <row r="5914">
          <cell r="AG5914" t="str">
            <v>ЮНГ</v>
          </cell>
        </row>
        <row r="5915">
          <cell r="AG5915" t="str">
            <v>ЮНГ</v>
          </cell>
        </row>
        <row r="5916">
          <cell r="AG5916" t="str">
            <v>ЮНГ</v>
          </cell>
        </row>
        <row r="5917">
          <cell r="AG5917" t="str">
            <v>ЮНГ</v>
          </cell>
        </row>
        <row r="5918">
          <cell r="AG5918" t="str">
            <v>ЮНГ</v>
          </cell>
        </row>
        <row r="5919">
          <cell r="AG5919" t="str">
            <v>ЮНГ</v>
          </cell>
        </row>
        <row r="5920">
          <cell r="AG5920" t="str">
            <v>ЮНГ</v>
          </cell>
        </row>
        <row r="5921">
          <cell r="AG5921" t="str">
            <v>ЮНГ</v>
          </cell>
        </row>
        <row r="5922">
          <cell r="AG5922" t="str">
            <v>ЮНГ</v>
          </cell>
        </row>
        <row r="5923">
          <cell r="AG5923" t="str">
            <v>ЮНГ</v>
          </cell>
        </row>
        <row r="5924">
          <cell r="AG5924" t="str">
            <v>ЮНГ</v>
          </cell>
        </row>
        <row r="5925">
          <cell r="AG5925" t="str">
            <v>ЮНГ</v>
          </cell>
        </row>
        <row r="5926">
          <cell r="AG5926" t="str">
            <v>ЮНГ</v>
          </cell>
        </row>
        <row r="5927">
          <cell r="AG5927" t="str">
            <v>ЮНГ</v>
          </cell>
        </row>
        <row r="5928">
          <cell r="AG5928" t="str">
            <v>ЮНГ</v>
          </cell>
        </row>
        <row r="5929">
          <cell r="AG5929" t="str">
            <v>ЮНГ</v>
          </cell>
        </row>
        <row r="5930">
          <cell r="AG5930" t="str">
            <v>ЮНГ</v>
          </cell>
        </row>
        <row r="5931">
          <cell r="AG5931" t="str">
            <v>ЮНГ</v>
          </cell>
        </row>
        <row r="5932">
          <cell r="AG5932" t="str">
            <v>ЮНГ</v>
          </cell>
        </row>
        <row r="5933">
          <cell r="AG5933" t="str">
            <v>ЮНГ</v>
          </cell>
        </row>
        <row r="5934">
          <cell r="AG5934" t="str">
            <v>ЮНГ</v>
          </cell>
        </row>
        <row r="5935">
          <cell r="AG5935" t="str">
            <v>ЮНГ</v>
          </cell>
        </row>
        <row r="5936">
          <cell r="AG5936" t="str">
            <v>ЮНГ</v>
          </cell>
        </row>
        <row r="5937">
          <cell r="AG5937" t="str">
            <v>ЮНГ</v>
          </cell>
        </row>
        <row r="5938">
          <cell r="AG5938" t="str">
            <v>ЮНГ</v>
          </cell>
        </row>
        <row r="5939">
          <cell r="AG5939" t="str">
            <v>ЮНГ</v>
          </cell>
        </row>
        <row r="5940">
          <cell r="AG5940" t="str">
            <v>ЮНГ</v>
          </cell>
        </row>
        <row r="5941">
          <cell r="AG5941" t="str">
            <v>ЮНГ</v>
          </cell>
        </row>
        <row r="5942">
          <cell r="AG5942" t="str">
            <v>ЮНГ</v>
          </cell>
        </row>
        <row r="5943">
          <cell r="AG5943" t="str">
            <v>ЮНГ</v>
          </cell>
        </row>
        <row r="5944">
          <cell r="AG5944" t="str">
            <v>ЮНГ</v>
          </cell>
        </row>
        <row r="5945">
          <cell r="AG5945" t="str">
            <v>ЮНГ</v>
          </cell>
        </row>
        <row r="5946">
          <cell r="AG5946" t="str">
            <v>ЮНГ</v>
          </cell>
        </row>
        <row r="5947">
          <cell r="AG5947" t="str">
            <v>ЮНГ</v>
          </cell>
        </row>
        <row r="5948">
          <cell r="AG5948" t="str">
            <v>ЮНГ</v>
          </cell>
        </row>
        <row r="5949">
          <cell r="AG5949" t="str">
            <v>ЮНГ</v>
          </cell>
        </row>
        <row r="5950">
          <cell r="AG5950" t="str">
            <v>ЮНГ</v>
          </cell>
        </row>
        <row r="5951">
          <cell r="AG5951" t="str">
            <v>ЮНГ</v>
          </cell>
        </row>
        <row r="5952">
          <cell r="AG5952" t="str">
            <v>ЮНГ</v>
          </cell>
        </row>
        <row r="5953">
          <cell r="AG5953" t="str">
            <v>ЮНГ</v>
          </cell>
        </row>
        <row r="5954">
          <cell r="AG5954" t="str">
            <v>ЮНГ</v>
          </cell>
        </row>
        <row r="5955">
          <cell r="AG5955" t="str">
            <v>ЮНГ</v>
          </cell>
        </row>
        <row r="5956">
          <cell r="AG5956" t="str">
            <v>ЮНГ</v>
          </cell>
        </row>
        <row r="5957">
          <cell r="AG5957" t="str">
            <v>ЮНГ</v>
          </cell>
        </row>
        <row r="5958">
          <cell r="AG5958" t="str">
            <v>ЮНГ</v>
          </cell>
        </row>
        <row r="5959">
          <cell r="AG5959" t="str">
            <v>ЮНГ</v>
          </cell>
        </row>
        <row r="5960">
          <cell r="AG5960" t="str">
            <v>ЮНГ</v>
          </cell>
        </row>
        <row r="5961">
          <cell r="AG5961" t="str">
            <v>ЮНГ</v>
          </cell>
        </row>
        <row r="5962">
          <cell r="AG5962" t="str">
            <v>ЮНГ</v>
          </cell>
        </row>
        <row r="5963">
          <cell r="AG5963" t="str">
            <v>ЮНГ</v>
          </cell>
        </row>
        <row r="5964">
          <cell r="AG5964" t="str">
            <v>ЮНГ</v>
          </cell>
        </row>
        <row r="5965">
          <cell r="AG5965" t="str">
            <v>ЮНГ</v>
          </cell>
        </row>
        <row r="5966">
          <cell r="AG5966" t="str">
            <v>ЮНГ</v>
          </cell>
        </row>
        <row r="5967">
          <cell r="AG5967" t="str">
            <v>ЮНГ</v>
          </cell>
        </row>
        <row r="5968">
          <cell r="AG5968" t="str">
            <v>ЮНГ</v>
          </cell>
        </row>
        <row r="5969">
          <cell r="AG5969" t="str">
            <v>ЮНГ</v>
          </cell>
        </row>
        <row r="5970">
          <cell r="AG5970" t="str">
            <v>ЮНГ</v>
          </cell>
        </row>
        <row r="5971">
          <cell r="AG5971" t="str">
            <v>ЮНГ</v>
          </cell>
        </row>
        <row r="5972">
          <cell r="AG5972" t="str">
            <v>ЮНГ</v>
          </cell>
        </row>
        <row r="5973">
          <cell r="AG5973" t="str">
            <v>ЮНГ</v>
          </cell>
        </row>
        <row r="5974">
          <cell r="AG5974" t="str">
            <v>ЮНГ</v>
          </cell>
        </row>
        <row r="5975">
          <cell r="AG5975" t="str">
            <v>ЮНГ</v>
          </cell>
        </row>
        <row r="5976">
          <cell r="AG5976" t="str">
            <v>ЮНГ</v>
          </cell>
        </row>
        <row r="5977">
          <cell r="AG5977" t="str">
            <v>ЮНГ</v>
          </cell>
        </row>
        <row r="5978">
          <cell r="AG5978" t="str">
            <v>ЮНГ</v>
          </cell>
        </row>
        <row r="5979">
          <cell r="AG5979" t="str">
            <v>ЮНГ</v>
          </cell>
        </row>
        <row r="5980">
          <cell r="AG5980" t="str">
            <v>ЮНГ</v>
          </cell>
        </row>
        <row r="5981">
          <cell r="AG5981" t="str">
            <v>ЮНГ</v>
          </cell>
        </row>
        <row r="5982">
          <cell r="AG5982" t="str">
            <v>ЮНГ</v>
          </cell>
        </row>
        <row r="5983">
          <cell r="AG5983" t="str">
            <v>ЮНГ</v>
          </cell>
        </row>
        <row r="5984">
          <cell r="AG5984" t="str">
            <v>ЮНГ</v>
          </cell>
        </row>
        <row r="5985">
          <cell r="AG5985" t="str">
            <v>ЮНГ</v>
          </cell>
        </row>
        <row r="5986">
          <cell r="AG5986" t="str">
            <v>ЮНГ</v>
          </cell>
        </row>
        <row r="5987">
          <cell r="AG5987" t="str">
            <v>ЮНГ</v>
          </cell>
        </row>
        <row r="5988">
          <cell r="AG5988" t="str">
            <v>ЮНГ</v>
          </cell>
        </row>
        <row r="5989">
          <cell r="AG5989" t="str">
            <v>ЮНГ</v>
          </cell>
        </row>
        <row r="5990">
          <cell r="AG5990" t="str">
            <v>ЮНГ</v>
          </cell>
        </row>
        <row r="5991">
          <cell r="AG5991" t="str">
            <v>ЮНГ</v>
          </cell>
        </row>
        <row r="5992">
          <cell r="AG5992" t="str">
            <v>ЮНГ</v>
          </cell>
        </row>
        <row r="5993">
          <cell r="AG5993" t="str">
            <v>ЮНГ</v>
          </cell>
        </row>
        <row r="5994">
          <cell r="AG5994" t="str">
            <v>ЮНГ</v>
          </cell>
        </row>
        <row r="5995">
          <cell r="AG5995" t="str">
            <v>ЮНГ</v>
          </cell>
        </row>
        <row r="5996">
          <cell r="AG5996" t="str">
            <v>ЮНГ</v>
          </cell>
        </row>
        <row r="5997">
          <cell r="AG5997" t="str">
            <v>ЮНГ</v>
          </cell>
        </row>
        <row r="5998">
          <cell r="AG5998" t="str">
            <v>ЮНГ</v>
          </cell>
        </row>
        <row r="5999">
          <cell r="AG5999" t="str">
            <v>ЮНГ</v>
          </cell>
        </row>
        <row r="6000">
          <cell r="AG6000" t="str">
            <v>ЮНГ</v>
          </cell>
        </row>
        <row r="6001">
          <cell r="AG6001" t="str">
            <v>ЮНГ</v>
          </cell>
        </row>
        <row r="6002">
          <cell r="AG6002" t="str">
            <v>ЮНГ</v>
          </cell>
        </row>
        <row r="6003">
          <cell r="AG6003" t="str">
            <v>ЮНГ</v>
          </cell>
        </row>
        <row r="6004">
          <cell r="AG6004" t="str">
            <v>ЮНГ</v>
          </cell>
        </row>
        <row r="6005">
          <cell r="AG6005" t="str">
            <v>ЮНГ</v>
          </cell>
        </row>
        <row r="6006">
          <cell r="AG6006" t="str">
            <v>ЮНГ</v>
          </cell>
        </row>
        <row r="6007">
          <cell r="AG6007" t="str">
            <v>ЮНГ</v>
          </cell>
        </row>
        <row r="6008">
          <cell r="AG6008" t="str">
            <v>ЮНГ</v>
          </cell>
        </row>
        <row r="6009">
          <cell r="AG6009" t="str">
            <v>ЮНГ</v>
          </cell>
        </row>
        <row r="6010">
          <cell r="AG6010" t="str">
            <v>ЮНГ</v>
          </cell>
        </row>
        <row r="6011">
          <cell r="AG6011" t="str">
            <v>ЮНГ</v>
          </cell>
        </row>
        <row r="6012">
          <cell r="AG6012" t="str">
            <v>ЮНГ</v>
          </cell>
        </row>
        <row r="6013">
          <cell r="AG6013" t="str">
            <v>ЮНГ</v>
          </cell>
        </row>
        <row r="6014">
          <cell r="AG6014" t="str">
            <v>ЮНГ</v>
          </cell>
        </row>
        <row r="6015">
          <cell r="AG6015" t="str">
            <v>ЮНГ</v>
          </cell>
        </row>
        <row r="6016">
          <cell r="AG6016" t="str">
            <v>ЮНГ</v>
          </cell>
        </row>
        <row r="6017">
          <cell r="AG6017" t="str">
            <v>ЮНГ</v>
          </cell>
        </row>
        <row r="6018">
          <cell r="AG6018" t="str">
            <v>ЮНГ</v>
          </cell>
        </row>
        <row r="6019">
          <cell r="AG6019" t="str">
            <v>ЮНГ</v>
          </cell>
        </row>
        <row r="6020">
          <cell r="AG6020" t="str">
            <v>ЮНГ</v>
          </cell>
        </row>
        <row r="6021">
          <cell r="AG6021" t="str">
            <v>ЮНГ</v>
          </cell>
        </row>
        <row r="6022">
          <cell r="AG6022" t="str">
            <v>ЮНГ</v>
          </cell>
        </row>
        <row r="6023">
          <cell r="AG6023" t="str">
            <v>ЮНГ</v>
          </cell>
        </row>
        <row r="6024">
          <cell r="AG6024" t="str">
            <v>ЮНГ</v>
          </cell>
        </row>
        <row r="6025">
          <cell r="AG6025" t="str">
            <v>ЮНГ</v>
          </cell>
        </row>
        <row r="6026">
          <cell r="AG6026" t="str">
            <v>ЮНГ</v>
          </cell>
        </row>
        <row r="6027">
          <cell r="AG6027" t="str">
            <v>ЮНГ</v>
          </cell>
        </row>
        <row r="6028">
          <cell r="AG6028" t="str">
            <v>ЮНГ</v>
          </cell>
        </row>
        <row r="6029">
          <cell r="AG6029" t="str">
            <v>ЮНГ</v>
          </cell>
        </row>
        <row r="6030">
          <cell r="AG6030" t="str">
            <v>ЮНГ</v>
          </cell>
        </row>
        <row r="6031">
          <cell r="AG6031" t="str">
            <v>ЮНГ</v>
          </cell>
        </row>
        <row r="6032">
          <cell r="AG6032" t="str">
            <v>ЮНГ</v>
          </cell>
        </row>
        <row r="6033">
          <cell r="AG6033" t="str">
            <v>ЮНГ</v>
          </cell>
        </row>
        <row r="6034">
          <cell r="AG6034" t="str">
            <v>ЮНГ</v>
          </cell>
        </row>
        <row r="6035">
          <cell r="AG6035" t="str">
            <v>ЮНГ</v>
          </cell>
        </row>
        <row r="6036">
          <cell r="AG6036" t="str">
            <v>ЮНГ</v>
          </cell>
        </row>
        <row r="6037">
          <cell r="AG6037" t="str">
            <v>ЮНГ</v>
          </cell>
        </row>
        <row r="6038">
          <cell r="AG6038" t="str">
            <v>ЮНГ</v>
          </cell>
        </row>
        <row r="6039">
          <cell r="AG6039" t="str">
            <v>ЮНГ</v>
          </cell>
        </row>
        <row r="6040">
          <cell r="AG6040" t="str">
            <v>ЮНГ</v>
          </cell>
        </row>
        <row r="6041">
          <cell r="AG6041" t="str">
            <v>ЮНГ</v>
          </cell>
        </row>
        <row r="6042">
          <cell r="AG6042" t="str">
            <v>ЮНГ</v>
          </cell>
        </row>
        <row r="6043">
          <cell r="AG6043" t="str">
            <v>ЮНГ</v>
          </cell>
        </row>
        <row r="6044">
          <cell r="AG6044" t="str">
            <v>ЮНГ</v>
          </cell>
        </row>
        <row r="6045">
          <cell r="AG6045" t="str">
            <v>ЮНГ</v>
          </cell>
        </row>
        <row r="6046">
          <cell r="AG6046" t="str">
            <v>ЮНГ</v>
          </cell>
        </row>
        <row r="6047">
          <cell r="AG6047" t="str">
            <v>ЮНГ</v>
          </cell>
        </row>
        <row r="6048">
          <cell r="AG6048" t="str">
            <v>ЮНГ</v>
          </cell>
        </row>
        <row r="6049">
          <cell r="AG6049" t="str">
            <v>ЮНГ</v>
          </cell>
        </row>
        <row r="6050">
          <cell r="AG6050" t="str">
            <v>ЮНГ</v>
          </cell>
        </row>
        <row r="6051">
          <cell r="AG6051" t="str">
            <v>ЮНГ</v>
          </cell>
        </row>
        <row r="6052">
          <cell r="AG6052" t="str">
            <v>ЮНГ</v>
          </cell>
        </row>
        <row r="6053">
          <cell r="AG6053" t="str">
            <v>ЮНГ</v>
          </cell>
        </row>
        <row r="6054">
          <cell r="AG6054" t="str">
            <v>ЮНГ</v>
          </cell>
        </row>
        <row r="6055">
          <cell r="AG6055" t="str">
            <v>ЮНГ</v>
          </cell>
        </row>
        <row r="6056">
          <cell r="AG6056" t="str">
            <v>ЮНГ</v>
          </cell>
        </row>
        <row r="6057">
          <cell r="AG6057" t="str">
            <v>ЮНГ</v>
          </cell>
        </row>
        <row r="6058">
          <cell r="AG6058" t="str">
            <v>ЮНГ</v>
          </cell>
        </row>
        <row r="6059">
          <cell r="AG6059" t="str">
            <v>ЮНГ</v>
          </cell>
        </row>
        <row r="6060">
          <cell r="AG6060" t="str">
            <v>ЮНГ</v>
          </cell>
        </row>
        <row r="6061">
          <cell r="AG6061" t="str">
            <v>ЮНГ</v>
          </cell>
        </row>
        <row r="6062">
          <cell r="AG6062" t="str">
            <v>ЮНГ</v>
          </cell>
        </row>
        <row r="6063">
          <cell r="AG6063" t="str">
            <v>ЮНГ</v>
          </cell>
        </row>
        <row r="6064">
          <cell r="AG6064" t="str">
            <v>ЮНГ</v>
          </cell>
        </row>
        <row r="6065">
          <cell r="AG6065" t="str">
            <v>ЮНГ</v>
          </cell>
        </row>
        <row r="6066">
          <cell r="AG6066" t="str">
            <v>ЮНГ</v>
          </cell>
        </row>
        <row r="6067">
          <cell r="AG6067" t="str">
            <v>ЮНГ</v>
          </cell>
        </row>
        <row r="6068">
          <cell r="AG6068" t="str">
            <v>ЮНГ</v>
          </cell>
        </row>
        <row r="6069">
          <cell r="AG6069" t="str">
            <v>ЮНГ</v>
          </cell>
        </row>
        <row r="6070">
          <cell r="AG6070" t="str">
            <v>ЮНГ</v>
          </cell>
        </row>
        <row r="6071">
          <cell r="AG6071" t="str">
            <v>ЮНГ</v>
          </cell>
        </row>
        <row r="6072">
          <cell r="AG6072" t="str">
            <v>ЮНГ</v>
          </cell>
        </row>
        <row r="6073">
          <cell r="AG6073" t="str">
            <v>ЮНГ</v>
          </cell>
        </row>
        <row r="6074">
          <cell r="AG6074" t="str">
            <v>ЮНГ</v>
          </cell>
        </row>
        <row r="6075">
          <cell r="AG6075" t="str">
            <v>ЮНГ</v>
          </cell>
        </row>
        <row r="6076">
          <cell r="AG6076" t="str">
            <v>ЮНГ</v>
          </cell>
        </row>
        <row r="6077">
          <cell r="AG6077" t="str">
            <v>ЮНГ</v>
          </cell>
        </row>
        <row r="6078">
          <cell r="AG6078" t="str">
            <v>ЮНГ</v>
          </cell>
        </row>
        <row r="6079">
          <cell r="AG6079" t="str">
            <v>ЮНГ</v>
          </cell>
        </row>
        <row r="6080">
          <cell r="AG6080" t="str">
            <v>ЮНГ</v>
          </cell>
        </row>
        <row r="6081">
          <cell r="AG6081" t="str">
            <v>ЮНГ</v>
          </cell>
        </row>
        <row r="6082">
          <cell r="AG6082" t="str">
            <v>ЮНГ</v>
          </cell>
        </row>
        <row r="6083">
          <cell r="AG6083" t="str">
            <v>ЮНГ</v>
          </cell>
        </row>
        <row r="6084">
          <cell r="AG6084" t="str">
            <v>ЮНГ</v>
          </cell>
        </row>
        <row r="6085">
          <cell r="AG6085" t="str">
            <v>ЮНГ</v>
          </cell>
        </row>
        <row r="6086">
          <cell r="AG6086" t="str">
            <v>ЮНГ</v>
          </cell>
        </row>
        <row r="6087">
          <cell r="AG6087" t="str">
            <v>ЮНГ</v>
          </cell>
        </row>
        <row r="6088">
          <cell r="AG6088" t="str">
            <v>ЮНГ</v>
          </cell>
        </row>
        <row r="6089">
          <cell r="AG6089" t="str">
            <v>ЮНГ</v>
          </cell>
        </row>
        <row r="6090">
          <cell r="AG6090" t="str">
            <v>ЮНГ</v>
          </cell>
        </row>
        <row r="6091">
          <cell r="AG6091" t="str">
            <v>ЮНГ</v>
          </cell>
        </row>
        <row r="6092">
          <cell r="AG6092" t="str">
            <v>ЮНГ</v>
          </cell>
        </row>
        <row r="6093">
          <cell r="AG6093" t="str">
            <v>ЮНГ</v>
          </cell>
        </row>
        <row r="6094">
          <cell r="AG6094" t="str">
            <v>ЮНГ</v>
          </cell>
        </row>
        <row r="6095">
          <cell r="AG6095" t="str">
            <v>ЮНГ</v>
          </cell>
        </row>
        <row r="6096">
          <cell r="AG6096" t="str">
            <v>ЮНГ</v>
          </cell>
        </row>
        <row r="6097">
          <cell r="AG6097" t="str">
            <v>ЮНГ</v>
          </cell>
        </row>
        <row r="6098">
          <cell r="AG6098" t="str">
            <v>ЮНГ</v>
          </cell>
        </row>
        <row r="6099">
          <cell r="AG6099" t="str">
            <v>ЮНГ</v>
          </cell>
        </row>
        <row r="6100">
          <cell r="AG6100" t="str">
            <v>ЮНГ</v>
          </cell>
        </row>
        <row r="6101">
          <cell r="AG6101" t="str">
            <v>ЮНГ</v>
          </cell>
        </row>
        <row r="6102">
          <cell r="AG6102" t="str">
            <v>ЮНГ</v>
          </cell>
        </row>
        <row r="6103">
          <cell r="AG6103" t="str">
            <v>ЮНГ</v>
          </cell>
        </row>
        <row r="6104">
          <cell r="AG6104" t="str">
            <v>ЮНГ</v>
          </cell>
        </row>
        <row r="6105">
          <cell r="AG6105" t="str">
            <v>ЮНГ</v>
          </cell>
        </row>
        <row r="6106">
          <cell r="AG6106" t="str">
            <v>ЮНГ</v>
          </cell>
        </row>
        <row r="6107">
          <cell r="AG6107" t="str">
            <v>ЮНГ</v>
          </cell>
        </row>
        <row r="6108">
          <cell r="AG6108" t="str">
            <v>ЮНГ</v>
          </cell>
        </row>
        <row r="6109">
          <cell r="AG6109" t="str">
            <v>ЮНГ</v>
          </cell>
        </row>
        <row r="6110">
          <cell r="AG6110" t="str">
            <v>ЮНГ</v>
          </cell>
        </row>
        <row r="6111">
          <cell r="AG6111" t="str">
            <v>ЮНГ</v>
          </cell>
        </row>
        <row r="6112">
          <cell r="AG6112" t="str">
            <v>ЮНГ</v>
          </cell>
        </row>
        <row r="6113">
          <cell r="AG6113" t="str">
            <v>ЮНГ</v>
          </cell>
        </row>
        <row r="6114">
          <cell r="AG6114" t="str">
            <v>ЮНГ</v>
          </cell>
        </row>
        <row r="6115">
          <cell r="AG6115" t="str">
            <v>ЮНГ</v>
          </cell>
        </row>
        <row r="6116">
          <cell r="AG6116" t="str">
            <v>ЮНГ</v>
          </cell>
        </row>
        <row r="6117">
          <cell r="AG6117" t="str">
            <v>ЮНГ</v>
          </cell>
        </row>
        <row r="6118">
          <cell r="AG6118" t="str">
            <v>ЮНГ</v>
          </cell>
        </row>
        <row r="6119">
          <cell r="AG6119" t="str">
            <v>ЮНГ</v>
          </cell>
        </row>
        <row r="6120">
          <cell r="AG6120" t="str">
            <v>ЮНГ</v>
          </cell>
        </row>
        <row r="6121">
          <cell r="AG6121" t="str">
            <v>ЮНГ</v>
          </cell>
        </row>
        <row r="6122">
          <cell r="AG6122" t="str">
            <v>ЮНГ</v>
          </cell>
        </row>
        <row r="6123">
          <cell r="AG6123" t="str">
            <v>ЮНГ</v>
          </cell>
        </row>
        <row r="6124">
          <cell r="AG6124" t="str">
            <v>ЮНГ</v>
          </cell>
        </row>
        <row r="6125">
          <cell r="AG6125" t="str">
            <v>ЮНГ</v>
          </cell>
        </row>
        <row r="6126">
          <cell r="AG6126" t="str">
            <v>ЮНГ</v>
          </cell>
        </row>
        <row r="6127">
          <cell r="AG6127" t="str">
            <v>ЮНГ</v>
          </cell>
        </row>
        <row r="6128">
          <cell r="AG6128" t="str">
            <v>ЮНГ</v>
          </cell>
        </row>
        <row r="6129">
          <cell r="AG6129" t="str">
            <v>ЮНГ</v>
          </cell>
        </row>
        <row r="6130">
          <cell r="AG6130" t="str">
            <v>ЮНГ</v>
          </cell>
        </row>
        <row r="6131">
          <cell r="AG6131" t="str">
            <v>ЮНГ</v>
          </cell>
        </row>
        <row r="6132">
          <cell r="AG6132" t="str">
            <v>ЮНГ</v>
          </cell>
        </row>
        <row r="6133">
          <cell r="AG6133" t="str">
            <v>ЮНГ</v>
          </cell>
        </row>
        <row r="6134">
          <cell r="AG6134" t="str">
            <v>ЮНГ</v>
          </cell>
        </row>
        <row r="6135">
          <cell r="AG6135" t="str">
            <v>ЮНГ</v>
          </cell>
        </row>
        <row r="6136">
          <cell r="AG6136" t="str">
            <v>ЮНГ</v>
          </cell>
        </row>
        <row r="6137">
          <cell r="AG6137" t="str">
            <v>ЮНГ</v>
          </cell>
        </row>
        <row r="6138">
          <cell r="AG6138" t="str">
            <v>ЮНГ</v>
          </cell>
        </row>
        <row r="6139">
          <cell r="AG6139" t="str">
            <v>ЮНГ</v>
          </cell>
        </row>
        <row r="6140">
          <cell r="AG6140" t="str">
            <v>ЮНГ</v>
          </cell>
        </row>
        <row r="6141">
          <cell r="AG6141" t="str">
            <v>ЮНГ</v>
          </cell>
        </row>
        <row r="6142">
          <cell r="AG6142" t="str">
            <v>ЮНГ</v>
          </cell>
        </row>
        <row r="6143">
          <cell r="AG6143" t="str">
            <v>ЮНГ</v>
          </cell>
        </row>
        <row r="6144">
          <cell r="AG6144" t="str">
            <v>ЮНГ</v>
          </cell>
        </row>
        <row r="6145">
          <cell r="AG6145" t="str">
            <v>ЮНГ</v>
          </cell>
        </row>
        <row r="6146">
          <cell r="AG6146" t="str">
            <v>ЮНГ</v>
          </cell>
        </row>
        <row r="6147">
          <cell r="AG6147" t="str">
            <v>ЮНГ</v>
          </cell>
        </row>
        <row r="6148">
          <cell r="AG6148" t="str">
            <v>ЮНГ</v>
          </cell>
        </row>
        <row r="6149">
          <cell r="AG6149" t="str">
            <v>ЮНГ</v>
          </cell>
        </row>
        <row r="6150">
          <cell r="AG6150" t="str">
            <v>ЮНГ</v>
          </cell>
        </row>
        <row r="6151">
          <cell r="AG6151" t="str">
            <v>ЮНГ</v>
          </cell>
        </row>
        <row r="6152">
          <cell r="AG6152" t="str">
            <v>ЮНГ</v>
          </cell>
        </row>
        <row r="6153">
          <cell r="AG6153" t="str">
            <v>ЮНГ</v>
          </cell>
        </row>
        <row r="6154">
          <cell r="AG6154" t="str">
            <v>ЮНГ</v>
          </cell>
        </row>
        <row r="6155">
          <cell r="AG6155" t="str">
            <v>ЮНГ</v>
          </cell>
        </row>
        <row r="6156">
          <cell r="AG6156" t="str">
            <v>ЮНГ</v>
          </cell>
        </row>
        <row r="6157">
          <cell r="AG6157" t="str">
            <v>ЮНГ</v>
          </cell>
        </row>
        <row r="6158">
          <cell r="AG6158" t="str">
            <v>ЮНГ</v>
          </cell>
        </row>
        <row r="6159">
          <cell r="AG6159" t="str">
            <v>ЮНГ</v>
          </cell>
        </row>
        <row r="6160">
          <cell r="AG6160" t="str">
            <v>ЮНГ</v>
          </cell>
        </row>
        <row r="6161">
          <cell r="AG6161" t="str">
            <v>ЮНГ</v>
          </cell>
        </row>
        <row r="6162">
          <cell r="AG6162" t="str">
            <v>ЮНГ</v>
          </cell>
        </row>
        <row r="6163">
          <cell r="AG6163" t="str">
            <v>ЮНГ</v>
          </cell>
        </row>
        <row r="6164">
          <cell r="AG6164" t="str">
            <v>ЮНГ</v>
          </cell>
        </row>
        <row r="6165">
          <cell r="AG6165" t="str">
            <v>ЮНГ</v>
          </cell>
        </row>
        <row r="6166">
          <cell r="AG6166" t="str">
            <v>ЮНГ</v>
          </cell>
        </row>
        <row r="6167">
          <cell r="AG6167" t="str">
            <v>ЮНГ</v>
          </cell>
        </row>
        <row r="6168">
          <cell r="AG6168" t="str">
            <v>ЮНГ</v>
          </cell>
        </row>
        <row r="6169">
          <cell r="AG6169" t="str">
            <v>ЮНГ</v>
          </cell>
        </row>
        <row r="6170">
          <cell r="AG6170" t="str">
            <v>ЮНГ</v>
          </cell>
        </row>
        <row r="6171">
          <cell r="AG6171" t="str">
            <v>ЮНГ</v>
          </cell>
        </row>
        <row r="6172">
          <cell r="AG6172" t="str">
            <v>ЮНГ</v>
          </cell>
        </row>
        <row r="6173">
          <cell r="AG6173" t="str">
            <v>ЮНГ</v>
          </cell>
        </row>
        <row r="6174">
          <cell r="AG6174" t="str">
            <v>ЮНГ</v>
          </cell>
        </row>
        <row r="6175">
          <cell r="AG6175" t="str">
            <v>ЮНГ</v>
          </cell>
        </row>
        <row r="6176">
          <cell r="AG6176" t="str">
            <v>ЮНГ</v>
          </cell>
        </row>
        <row r="6177">
          <cell r="AG6177" t="str">
            <v>ЮНГ</v>
          </cell>
        </row>
        <row r="6178">
          <cell r="AG6178" t="str">
            <v>ЮНГ</v>
          </cell>
        </row>
        <row r="6179">
          <cell r="AG6179" t="str">
            <v>ЮНГ</v>
          </cell>
        </row>
        <row r="6180">
          <cell r="AG6180" t="str">
            <v>ЮНГ</v>
          </cell>
        </row>
        <row r="6181">
          <cell r="AG6181" t="str">
            <v>ЮНГ</v>
          </cell>
        </row>
        <row r="6182">
          <cell r="AG6182" t="str">
            <v>ЮНГ</v>
          </cell>
        </row>
        <row r="6183">
          <cell r="AG6183" t="str">
            <v>ЮНГ</v>
          </cell>
        </row>
        <row r="6184">
          <cell r="AG6184" t="str">
            <v>ЮНГ</v>
          </cell>
        </row>
        <row r="6185">
          <cell r="AG6185" t="str">
            <v>ЮНГ</v>
          </cell>
        </row>
        <row r="6186">
          <cell r="AG6186" t="str">
            <v>ЮНГ</v>
          </cell>
        </row>
        <row r="6187">
          <cell r="AG6187" t="str">
            <v>ЮНГ</v>
          </cell>
        </row>
        <row r="6188">
          <cell r="AG6188" t="str">
            <v>ЮНГ</v>
          </cell>
        </row>
        <row r="6189">
          <cell r="AG6189" t="str">
            <v>ЮНГ</v>
          </cell>
        </row>
        <row r="6190">
          <cell r="AG6190" t="str">
            <v>ЮНГ</v>
          </cell>
        </row>
        <row r="6191">
          <cell r="AG6191" t="str">
            <v>ЮНГ</v>
          </cell>
        </row>
        <row r="6192">
          <cell r="AG6192" t="str">
            <v>ЮНГ</v>
          </cell>
        </row>
        <row r="6193">
          <cell r="AG6193" t="str">
            <v>ЮНГ</v>
          </cell>
        </row>
        <row r="6194">
          <cell r="AG6194" t="str">
            <v>ЮНГ</v>
          </cell>
        </row>
        <row r="6195">
          <cell r="AG6195" t="str">
            <v>ЮНГ</v>
          </cell>
        </row>
        <row r="6196">
          <cell r="AG6196" t="str">
            <v>ЮНГ</v>
          </cell>
        </row>
        <row r="6197">
          <cell r="AG6197" t="str">
            <v>ЮНГ</v>
          </cell>
        </row>
        <row r="6198">
          <cell r="AG6198" t="str">
            <v>ЮНГ</v>
          </cell>
        </row>
        <row r="6199">
          <cell r="AG6199" t="str">
            <v>ЮНГ</v>
          </cell>
        </row>
        <row r="6200">
          <cell r="AG6200" t="str">
            <v>ЮНГ</v>
          </cell>
        </row>
        <row r="6201">
          <cell r="AG6201" t="str">
            <v>ЮНГ</v>
          </cell>
        </row>
        <row r="6202">
          <cell r="AG6202" t="str">
            <v>ЮНГ</v>
          </cell>
        </row>
        <row r="6203">
          <cell r="AG6203" t="str">
            <v>ЮНГ</v>
          </cell>
        </row>
        <row r="6204">
          <cell r="AG6204" t="str">
            <v>ЮНГ</v>
          </cell>
        </row>
        <row r="6205">
          <cell r="AG6205" t="str">
            <v>ЮНГ</v>
          </cell>
        </row>
        <row r="6206">
          <cell r="AG6206" t="str">
            <v>ЮНГ</v>
          </cell>
        </row>
        <row r="6207">
          <cell r="AG6207" t="str">
            <v>ЮНГ</v>
          </cell>
        </row>
        <row r="6208">
          <cell r="AG6208" t="str">
            <v>ЮНГ</v>
          </cell>
        </row>
        <row r="6209">
          <cell r="AG6209" t="str">
            <v>ЮНГ</v>
          </cell>
        </row>
        <row r="6210">
          <cell r="AG6210" t="str">
            <v>ЮНГ</v>
          </cell>
        </row>
        <row r="6211">
          <cell r="AG6211" t="str">
            <v>ЮНГ</v>
          </cell>
        </row>
        <row r="6212">
          <cell r="AG6212" t="str">
            <v>ЮНГ</v>
          </cell>
        </row>
        <row r="6213">
          <cell r="AG6213" t="str">
            <v>ЮНГ</v>
          </cell>
        </row>
        <row r="6214">
          <cell r="AG6214" t="str">
            <v>ЮНГ</v>
          </cell>
        </row>
        <row r="6215">
          <cell r="AG6215" t="str">
            <v>ЮНГ</v>
          </cell>
        </row>
        <row r="6216">
          <cell r="AG6216" t="str">
            <v>ЮНГ</v>
          </cell>
        </row>
        <row r="6217">
          <cell r="AG6217" t="str">
            <v>ЮНГ</v>
          </cell>
        </row>
        <row r="6218">
          <cell r="AG6218" t="str">
            <v>ЮНГ</v>
          </cell>
        </row>
        <row r="6219">
          <cell r="AG6219" t="str">
            <v>ЮНГ</v>
          </cell>
        </row>
        <row r="6220">
          <cell r="AG6220" t="str">
            <v>ЮНГ</v>
          </cell>
        </row>
        <row r="6221">
          <cell r="AG6221" t="str">
            <v>ЮНГ</v>
          </cell>
        </row>
        <row r="6222">
          <cell r="AG6222" t="str">
            <v>ЮНГ</v>
          </cell>
        </row>
        <row r="6223">
          <cell r="AG6223" t="str">
            <v>ЮНГ</v>
          </cell>
        </row>
        <row r="6224">
          <cell r="AG6224" t="str">
            <v>ЮНГ</v>
          </cell>
        </row>
        <row r="6225">
          <cell r="AG6225" t="str">
            <v>ЮНГ</v>
          </cell>
        </row>
        <row r="6226">
          <cell r="AG6226" t="str">
            <v>ЮНГ</v>
          </cell>
        </row>
        <row r="6227">
          <cell r="AG6227" t="str">
            <v>ЮНГ</v>
          </cell>
        </row>
        <row r="6228">
          <cell r="AG6228" t="str">
            <v>ЮНГ</v>
          </cell>
        </row>
        <row r="6229">
          <cell r="AG6229" t="str">
            <v>ЮНГ</v>
          </cell>
        </row>
        <row r="6230">
          <cell r="AG6230" t="str">
            <v>ЮНГ</v>
          </cell>
        </row>
        <row r="6231">
          <cell r="AG6231" t="str">
            <v>ЮНГ</v>
          </cell>
        </row>
        <row r="6232">
          <cell r="AG6232" t="str">
            <v>ЮНГ</v>
          </cell>
        </row>
        <row r="6233">
          <cell r="AG6233" t="str">
            <v>ЮНГ</v>
          </cell>
        </row>
        <row r="6234">
          <cell r="AG6234" t="str">
            <v>ЮНГ</v>
          </cell>
        </row>
        <row r="6235">
          <cell r="AG6235" t="str">
            <v>ЮНГ</v>
          </cell>
        </row>
        <row r="6236">
          <cell r="AG6236" t="str">
            <v>ЮНГ</v>
          </cell>
        </row>
        <row r="6237">
          <cell r="AG6237" t="str">
            <v>ЮНГ</v>
          </cell>
        </row>
        <row r="6238">
          <cell r="AG6238" t="str">
            <v>ЮНГ</v>
          </cell>
        </row>
        <row r="6239">
          <cell r="AG6239" t="str">
            <v>ЮНГ</v>
          </cell>
        </row>
        <row r="6240">
          <cell r="AG6240" t="str">
            <v>ЮНГ</v>
          </cell>
        </row>
        <row r="6241">
          <cell r="AG6241" t="str">
            <v>ЮНГ</v>
          </cell>
        </row>
        <row r="6242">
          <cell r="AG6242" t="str">
            <v>ЮНГ</v>
          </cell>
        </row>
        <row r="6243">
          <cell r="AG6243" t="str">
            <v>ЮНГ</v>
          </cell>
        </row>
        <row r="6244">
          <cell r="AG6244" t="str">
            <v>ЮНГ</v>
          </cell>
        </row>
        <row r="6245">
          <cell r="AG6245" t="str">
            <v>ЮНГ</v>
          </cell>
        </row>
        <row r="6246">
          <cell r="AG6246" t="str">
            <v>ЮНГ</v>
          </cell>
        </row>
        <row r="6247">
          <cell r="AG6247" t="str">
            <v>ЮНГ</v>
          </cell>
        </row>
        <row r="6248">
          <cell r="AG6248" t="str">
            <v>ЮНГ</v>
          </cell>
        </row>
        <row r="6249">
          <cell r="AG6249" t="str">
            <v>ЮНГ</v>
          </cell>
        </row>
        <row r="6250">
          <cell r="AG6250" t="str">
            <v>ЮНГ</v>
          </cell>
        </row>
        <row r="6251">
          <cell r="AG6251" t="str">
            <v>ЮНГ</v>
          </cell>
        </row>
        <row r="6252">
          <cell r="AG6252" t="str">
            <v>ЮНГ</v>
          </cell>
        </row>
        <row r="6253">
          <cell r="AG6253" t="str">
            <v>ЮНГ</v>
          </cell>
        </row>
        <row r="6254">
          <cell r="AG6254" t="str">
            <v>ЮНГ</v>
          </cell>
        </row>
        <row r="6255">
          <cell r="AG6255" t="str">
            <v>ЮНГ</v>
          </cell>
        </row>
        <row r="6256">
          <cell r="AG6256" t="str">
            <v>ЮНГ</v>
          </cell>
        </row>
        <row r="6257">
          <cell r="AG6257" t="str">
            <v>ЮНГ</v>
          </cell>
        </row>
        <row r="6258">
          <cell r="AG6258" t="str">
            <v>ЮНГ</v>
          </cell>
        </row>
        <row r="6259">
          <cell r="AG6259" t="str">
            <v>ЮНГ</v>
          </cell>
        </row>
        <row r="6260">
          <cell r="AG6260" t="str">
            <v>ЮНГ</v>
          </cell>
        </row>
        <row r="6261">
          <cell r="AG6261" t="str">
            <v>ЮНГ</v>
          </cell>
        </row>
        <row r="6262">
          <cell r="AG6262" t="str">
            <v>ЮНГ</v>
          </cell>
        </row>
        <row r="6263">
          <cell r="AG6263" t="str">
            <v>ЮНГ</v>
          </cell>
        </row>
        <row r="6264">
          <cell r="AG6264" t="str">
            <v>ЮНГ</v>
          </cell>
        </row>
        <row r="6265">
          <cell r="AG6265" t="str">
            <v>ЮНГ</v>
          </cell>
        </row>
        <row r="6266">
          <cell r="AG6266" t="str">
            <v>ЮНГ</v>
          </cell>
        </row>
        <row r="6267">
          <cell r="AG6267" t="str">
            <v>ЮНГ</v>
          </cell>
        </row>
        <row r="6268">
          <cell r="AG6268" t="str">
            <v>ЮНГ</v>
          </cell>
        </row>
        <row r="6269">
          <cell r="AG6269" t="str">
            <v>ЮНГ</v>
          </cell>
        </row>
        <row r="6270">
          <cell r="AG6270" t="str">
            <v>ЮНГ</v>
          </cell>
        </row>
        <row r="6271">
          <cell r="AG6271" t="str">
            <v>ЮНГ</v>
          </cell>
        </row>
        <row r="6272">
          <cell r="AG6272" t="str">
            <v>ЮНГ</v>
          </cell>
        </row>
        <row r="6273">
          <cell r="AG6273" t="str">
            <v>ЮНГ</v>
          </cell>
        </row>
        <row r="6274">
          <cell r="AG6274" t="str">
            <v>ЮНГ</v>
          </cell>
        </row>
        <row r="6275">
          <cell r="AG6275" t="str">
            <v>ЮНГ</v>
          </cell>
        </row>
        <row r="6276">
          <cell r="AG6276" t="str">
            <v>ЮНГ</v>
          </cell>
        </row>
        <row r="6277">
          <cell r="AG6277" t="str">
            <v>ЮНГ</v>
          </cell>
        </row>
        <row r="6278">
          <cell r="AG6278" t="str">
            <v>ЮНГ</v>
          </cell>
        </row>
        <row r="6279">
          <cell r="AG6279" t="str">
            <v>ЮНГ</v>
          </cell>
        </row>
        <row r="6280">
          <cell r="AG6280" t="str">
            <v>ЮНГ</v>
          </cell>
        </row>
        <row r="6281">
          <cell r="AG6281" t="str">
            <v>ЮНГ</v>
          </cell>
        </row>
        <row r="6282">
          <cell r="AG6282" t="str">
            <v>ЮНГ</v>
          </cell>
        </row>
        <row r="6283">
          <cell r="AG6283" t="str">
            <v>ЮНГ</v>
          </cell>
        </row>
        <row r="6284">
          <cell r="AG6284" t="str">
            <v>ЮНГ</v>
          </cell>
        </row>
        <row r="6285">
          <cell r="AG6285" t="str">
            <v>ЮНГ</v>
          </cell>
        </row>
        <row r="6286">
          <cell r="AG6286" t="str">
            <v>ЮНГ</v>
          </cell>
        </row>
        <row r="6287">
          <cell r="AG6287" t="str">
            <v>ЮНГ</v>
          </cell>
        </row>
      </sheetData>
      <sheetData sheetId="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Рапорт"/>
      <sheetName val="Планирование"/>
      <sheetName val="Крепление"/>
      <sheetName val="Баланс"/>
      <sheetName val="КНБК"/>
      <sheetName val="Проблемы"/>
      <sheetName val="Инструкции по заполнению"/>
      <sheetName val="Коды операций"/>
      <sheetName val="DVD"/>
      <sheetName val="Дата"/>
      <sheetName val="DWOP"/>
      <sheetName val="Баланс времени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>
        <row r="2">
          <cell r="B2" t="str">
            <v>Бурение/Бурение с отбором керна</v>
          </cell>
        </row>
        <row r="3">
          <cell r="B3" t="str">
            <v>СПО</v>
          </cell>
        </row>
        <row r="4">
          <cell r="B4" t="str">
            <v>Крепление (Cпуск и цементирование ОК)</v>
          </cell>
        </row>
        <row r="5">
          <cell r="B5" t="str">
            <v xml:space="preserve">Геофизические исследования </v>
          </cell>
        </row>
        <row r="6">
          <cell r="B6" t="str">
            <v>Инклинометрия</v>
          </cell>
        </row>
        <row r="7">
          <cell r="B7" t="str">
            <v>Ожидание Затвердения Цемента</v>
          </cell>
        </row>
        <row r="8">
          <cell r="B8" t="str">
            <v>Монтаж/демонтаж ПВО</v>
          </cell>
        </row>
        <row r="9">
          <cell r="B9" t="str">
            <v>ВМР</v>
          </cell>
        </row>
        <row r="10">
          <cell r="B10" t="str">
            <v>Обслуживание БУ и Оборудования</v>
          </cell>
        </row>
        <row r="11">
          <cell r="B11" t="str">
            <v>Циркуляция и Обработка БР</v>
          </cell>
        </row>
        <row r="12">
          <cell r="B12" t="str">
            <v>Проработка</v>
          </cell>
        </row>
        <row r="13">
          <cell r="B13" t="str">
            <v>Шаблонирование</v>
          </cell>
        </row>
        <row r="14">
          <cell r="B14" t="str">
            <v>Повреждение Инструмента (слом, размыв)</v>
          </cell>
        </row>
        <row r="15">
          <cell r="B15" t="str">
            <v>Аварии из-за неисправности наземного оборудования</v>
          </cell>
        </row>
        <row r="16">
          <cell r="B16" t="str">
            <v>Падение постороннего предмета в скважину</v>
          </cell>
        </row>
        <row r="17">
          <cell r="B17" t="str">
            <v>Каротажный инструмент (заклинка, обрыв)</v>
          </cell>
        </row>
        <row r="18">
          <cell r="B18" t="str">
            <v>Прихват КНБК</v>
          </cell>
        </row>
        <row r="19">
          <cell r="B19" t="str">
            <v>Прихват Обсадной колонны</v>
          </cell>
        </row>
        <row r="20">
          <cell r="B20" t="str">
            <v>Другие аварии</v>
          </cell>
        </row>
        <row r="21">
          <cell r="B21" t="str">
            <v>НГВП</v>
          </cell>
        </row>
        <row r="22">
          <cell r="B22" t="str">
            <v>Потери циркуляции (включая потери раствора)</v>
          </cell>
        </row>
        <row r="23">
          <cell r="B23" t="str">
            <v>Осложнение ствола скважины</v>
          </cell>
        </row>
        <row r="24">
          <cell r="B24" t="str">
            <v>Другие Осложнения</v>
          </cell>
        </row>
        <row r="25">
          <cell r="B25" t="str">
            <v>Зарезка нового ствола по ликвидации аварии</v>
          </cell>
        </row>
        <row r="26">
          <cell r="B26" t="str">
            <v>Исправление траектории ствола скважины</v>
          </cell>
        </row>
        <row r="27">
          <cell r="B27" t="str">
            <v>Исправление некачественного цементирования</v>
          </cell>
        </row>
        <row r="28">
          <cell r="B28" t="str">
            <v>Проблемы во время цементирования</v>
          </cell>
        </row>
        <row r="29">
          <cell r="B29" t="str">
            <v>Проблемы во время Каротажа / Инклинометрии</v>
          </cell>
        </row>
        <row r="30">
          <cell r="B30" t="str">
            <v>Другой брак</v>
          </cell>
        </row>
        <row r="31">
          <cell r="B31" t="str">
            <v>Отказ Телесистем</v>
          </cell>
        </row>
        <row r="32">
          <cell r="B32" t="str">
            <v>Отказ забойных Двигателей</v>
          </cell>
        </row>
        <row r="33">
          <cell r="B33" t="str">
            <v>Несвоевременная Поставка</v>
          </cell>
        </row>
        <row r="34">
          <cell r="B34" t="str">
            <v>Погода</v>
          </cell>
        </row>
        <row r="35">
          <cell r="B35" t="str">
            <v>Ожидание Распоряжения Заказчика</v>
          </cell>
        </row>
        <row r="36">
          <cell r="B36" t="str">
            <v>Ожидание (кроме распоряжения заказчика)</v>
          </cell>
        </row>
        <row r="37">
          <cell r="B37" t="str">
            <v>Отсутствие Электроэнергии</v>
          </cell>
        </row>
        <row r="38">
          <cell r="B38" t="str">
            <v>Устр. предписаний контролирующих органов</v>
          </cell>
        </row>
        <row r="39">
          <cell r="B39" t="str">
            <v>Прочие Простои</v>
          </cell>
        </row>
        <row r="40">
          <cell r="B40" t="str">
            <v>ПВО</v>
          </cell>
        </row>
        <row r="41">
          <cell r="B41" t="str">
            <v>Манифольд высокого давления</v>
          </cell>
        </row>
        <row r="42">
          <cell r="B42" t="str">
            <v>Система очистки БР</v>
          </cell>
        </row>
        <row r="43">
          <cell r="B43" t="str">
            <v>Буровой насоc</v>
          </cell>
        </row>
        <row r="44">
          <cell r="B44" t="str">
            <v xml:space="preserve">Насосное оборудование (не буровой насос) </v>
          </cell>
        </row>
        <row r="45">
          <cell r="B45" t="str">
            <v>Силовая установка (электродвигатели или дизеля)</v>
          </cell>
        </row>
        <row r="46">
          <cell r="B46" t="str">
            <v>Лебедка</v>
          </cell>
        </row>
        <row r="47">
          <cell r="B47" t="str">
            <v>Талевая система</v>
          </cell>
        </row>
        <row r="48">
          <cell r="B48" t="str">
            <v>Шнек</v>
          </cell>
        </row>
        <row r="49">
          <cell r="B49" t="str">
            <v>Электрооборудование</v>
          </cell>
        </row>
        <row r="50">
          <cell r="B50" t="str">
            <v>Компрессорное оборудование</v>
          </cell>
        </row>
        <row r="51">
          <cell r="B51" t="str">
            <v xml:space="preserve">Ротор </v>
          </cell>
        </row>
        <row r="52">
          <cell r="B52" t="str">
            <v xml:space="preserve">Верхний привод </v>
          </cell>
        </row>
        <row r="53">
          <cell r="B53" t="str">
            <v xml:space="preserve">Вспомогательная лебедка и Кран </v>
          </cell>
        </row>
        <row r="54">
          <cell r="B54" t="str">
            <v>Оборудование для СПО</v>
          </cell>
        </row>
        <row r="55">
          <cell r="B55" t="str">
            <v xml:space="preserve">Генератор </v>
          </cell>
        </row>
        <row r="56">
          <cell r="B56" t="str">
            <v>Прочие ремонты</v>
          </cell>
        </row>
        <row r="70">
          <cell r="B70" t="str">
            <v>ООО "ВКТБ"</v>
          </cell>
          <cell r="D70" t="str">
            <v>Ай-Хеттинское</v>
          </cell>
          <cell r="F70" t="str">
            <v>МБУ-2900/175 М-ДЭП</v>
          </cell>
          <cell r="G70" t="str">
            <v>СИН-61</v>
          </cell>
          <cell r="H70" t="str">
            <v>Глинистый</v>
          </cell>
          <cell r="J70" t="str">
            <v>Добывающая АВ1-3</v>
          </cell>
        </row>
        <row r="71">
          <cell r="B71" t="str">
            <v>"Виктория Групп, Инк"</v>
          </cell>
          <cell r="D71" t="str">
            <v>Валынтойское</v>
          </cell>
          <cell r="F71" t="str">
            <v>БУ-3000 ЭУК</v>
          </cell>
          <cell r="G71" t="str">
            <v>У8-6</v>
          </cell>
          <cell r="H71" t="str">
            <v>Полимерглинистый</v>
          </cell>
          <cell r="J71" t="str">
            <v>Добывающая АВ7-8</v>
          </cell>
        </row>
        <row r="72">
          <cell r="B72" t="str">
            <v>"Халлибуртон Интернэшнл Инк"</v>
          </cell>
          <cell r="D72" t="str">
            <v>Верхне-Телекайское</v>
          </cell>
          <cell r="F72" t="str">
            <v>Drillmec MR 8000</v>
          </cell>
          <cell r="G72" t="str">
            <v>У8-6МА2</v>
          </cell>
          <cell r="H72" t="str">
            <v>KCl-Полимерный</v>
          </cell>
          <cell r="J72" t="str">
            <v>Добывающая БВ-2-2</v>
          </cell>
        </row>
        <row r="73">
          <cell r="B73" t="str">
            <v>"Шлюмберже Лоджелко, Инк"</v>
          </cell>
          <cell r="D73" t="str">
            <v>Воргенское</v>
          </cell>
          <cell r="F73" t="str">
            <v>Kremko K220T</v>
          </cell>
          <cell r="G73" t="str">
            <v>УНБТ 950</v>
          </cell>
          <cell r="H73" t="str">
            <v>Полимерный</v>
          </cell>
          <cell r="J73" t="str">
            <v>Добывающая БВ-0</v>
          </cell>
        </row>
        <row r="74">
          <cell r="B74" t="str">
            <v>"Эм-Ай Дриллинг Флуидз"</v>
          </cell>
          <cell r="D74" t="str">
            <v>Восточно-Етыпуровское</v>
          </cell>
          <cell r="F74" t="str">
            <v>Cooper LTO 550</v>
          </cell>
          <cell r="G74" t="str">
            <v>УНБ 950</v>
          </cell>
          <cell r="H74" t="str">
            <v>На УВ основе</v>
          </cell>
          <cell r="J74" t="str">
            <v>Добывающая БВ-10</v>
          </cell>
        </row>
        <row r="75">
          <cell r="B75" t="str">
            <v>Weatherford</v>
          </cell>
          <cell r="D75" t="str">
            <v>Восточно-Пякутинское</v>
          </cell>
          <cell r="F75" t="str">
            <v>АЕ-520 RU</v>
          </cell>
          <cell r="G75" t="str">
            <v>Drillmec 9T800 Triplex</v>
          </cell>
          <cell r="H75" t="str">
            <v xml:space="preserve">Полимермалоглинистый </v>
          </cell>
          <cell r="J75" t="str">
            <v>Добывающая БВ-11</v>
          </cell>
        </row>
        <row r="76">
          <cell r="B76" t="str">
            <v>Бейкер Хьюз Б.В.</v>
          </cell>
          <cell r="D76" t="str">
            <v>Вынгапуровское</v>
          </cell>
          <cell r="F76" t="str">
            <v>АРБ-100</v>
          </cell>
          <cell r="G76" t="str">
            <v>SPM TWS 600S</v>
          </cell>
          <cell r="J76" t="str">
            <v>Добывающая ПК-19</v>
          </cell>
        </row>
        <row r="77">
          <cell r="B77" t="str">
            <v>Газпромдобыча Ноябрьск</v>
          </cell>
          <cell r="D77" t="str">
            <v>Вынгаяхинское</v>
          </cell>
          <cell r="F77" t="str">
            <v>БУ-4000 ЭУК</v>
          </cell>
          <cell r="G77" t="str">
            <v>8 P 8</v>
          </cell>
          <cell r="J77" t="str">
            <v>Добывающая ПК-19</v>
          </cell>
        </row>
        <row r="78">
          <cell r="B78" t="str">
            <v>ЗАО "Аган-Бурение"</v>
          </cell>
          <cell r="D78" t="str">
            <v>Дрообское</v>
          </cell>
          <cell r="F78" t="str">
            <v>БУ-3000-1М ЭУК</v>
          </cell>
          <cell r="J78" t="str">
            <v>Добывающая ПК-20</v>
          </cell>
        </row>
        <row r="79">
          <cell r="B79" t="str">
            <v>ЗАО "Нефтемашвнедрение"</v>
          </cell>
          <cell r="D79" t="str">
            <v>Еты-Пуровское</v>
          </cell>
          <cell r="F79" t="str">
            <v>БУ-3000-2М ЭУК</v>
          </cell>
          <cell r="J79" t="str">
            <v>Добывающая Ю1-1</v>
          </cell>
        </row>
        <row r="80">
          <cell r="B80" t="str">
            <v>ЗАО "Сибнефтепроект"</v>
          </cell>
          <cell r="D80" t="str">
            <v>Западно-Вынгапуровское</v>
          </cell>
          <cell r="F80" t="str">
            <v>Satvia-CAT-TB- 180</v>
          </cell>
          <cell r="J80" t="str">
            <v xml:space="preserve">Добывающая ЮВ1 </v>
          </cell>
        </row>
        <row r="81">
          <cell r="B81" t="str">
            <v>ЗАО "Тюменьгеопроект"</v>
          </cell>
          <cell r="D81" t="str">
            <v>Западно-Ноябрьское</v>
          </cell>
          <cell r="J81" t="str">
            <v>Добывающая ЮВ1(2+3)</v>
          </cell>
        </row>
        <row r="82">
          <cell r="B82" t="str">
            <v>Ноябрьскгеофизика</v>
          </cell>
          <cell r="D82" t="str">
            <v>Западно-Суторминское</v>
          </cell>
          <cell r="J82" t="str">
            <v>Добывающая ЮВ1(2+3)</v>
          </cell>
        </row>
        <row r="83">
          <cell r="B83" t="str">
            <v>ОАО "Газпромнефть"</v>
          </cell>
          <cell r="D83" t="str">
            <v>Имилорское</v>
          </cell>
          <cell r="J83" t="str">
            <v>Добывающая ЮВ-10</v>
          </cell>
        </row>
        <row r="84">
          <cell r="B84" t="str">
            <v>ОАО "Обънефтегазгеология"</v>
          </cell>
          <cell r="D84" t="str">
            <v>Карамовское</v>
          </cell>
          <cell r="J84" t="str">
            <v>Добывающая ЮВ2</v>
          </cell>
        </row>
        <row r="85">
          <cell r="B85" t="str">
            <v>ОАО НПП "Бурсервис"</v>
          </cell>
          <cell r="D85" t="str">
            <v>Карасевское</v>
          </cell>
          <cell r="J85" t="str">
            <v>Добывающая ЮВ4</v>
          </cell>
        </row>
        <row r="86">
          <cell r="B86" t="str">
            <v>ОАО СибНАЦ</v>
          </cell>
          <cell r="D86" t="str">
            <v>Крайнее</v>
          </cell>
          <cell r="J86" t="str">
            <v>Добывающая ЮВ8+9</v>
          </cell>
        </row>
        <row r="87">
          <cell r="B87" t="str">
            <v>ООО "Азимут-Сервис"</v>
          </cell>
          <cell r="D87" t="str">
            <v>Меретояхинское</v>
          </cell>
          <cell r="J87" t="str">
            <v>Нагнетательная АВ1-3</v>
          </cell>
        </row>
        <row r="88">
          <cell r="B88" t="str">
            <v>ООО "ВБМ-Сервис"</v>
          </cell>
          <cell r="D88" t="str">
            <v>Муравленковское</v>
          </cell>
          <cell r="J88" t="str">
            <v>Нагнетательная АВ7-8</v>
          </cell>
        </row>
        <row r="89">
          <cell r="B89" t="str">
            <v>ООО "Газпромнефть-НТЦ"</v>
          </cell>
          <cell r="D89" t="str">
            <v>Новогоднее</v>
          </cell>
          <cell r="J89" t="str">
            <v>Нагнетательная Ач</v>
          </cell>
        </row>
        <row r="90">
          <cell r="B90" t="str">
            <v>ООО "Катойл-Дриллинг"</v>
          </cell>
          <cell r="D90" t="str">
            <v>Новороссийское</v>
          </cell>
          <cell r="J90" t="str">
            <v>Нагнетательная БВ-0</v>
          </cell>
        </row>
        <row r="91">
          <cell r="B91" t="str">
            <v>ООО "Л-Бурение"</v>
          </cell>
          <cell r="D91" t="str">
            <v>Ортьягунское</v>
          </cell>
          <cell r="J91" t="str">
            <v>Нагнетательная БВ-10</v>
          </cell>
        </row>
        <row r="92">
          <cell r="B92" t="str">
            <v>ООО "Л-Сервис"</v>
          </cell>
          <cell r="D92" t="str">
            <v>Пограничное</v>
          </cell>
          <cell r="J92" t="str">
            <v>Нагнетательная БВ-11</v>
          </cell>
        </row>
        <row r="93">
          <cell r="B93" t="str">
            <v>ООО "Новые Технологии-Сервис"</v>
          </cell>
          <cell r="D93" t="str">
            <v>Пякутинское</v>
          </cell>
          <cell r="J93" t="str">
            <v>Нагнетательная ПК-19</v>
          </cell>
        </row>
        <row r="94">
          <cell r="B94" t="str">
            <v>ООО "НЦТБ"</v>
          </cell>
          <cell r="D94" t="str">
            <v>Равнинное</v>
          </cell>
          <cell r="J94" t="str">
            <v>Нагнетательная ПК-20</v>
          </cell>
        </row>
        <row r="95">
          <cell r="B95" t="str">
            <v>ООО "ПСК"Буртехнологии"</v>
          </cell>
          <cell r="D95" t="str">
            <v>Романовское</v>
          </cell>
          <cell r="J95" t="str">
            <v>Нагнетательная Ю1-1</v>
          </cell>
        </row>
        <row r="96">
          <cell r="B96" t="str">
            <v>ООО "СБК"</v>
          </cell>
          <cell r="D96" t="str">
            <v>Северо-Вынгапуровское</v>
          </cell>
          <cell r="J96" t="str">
            <v xml:space="preserve">Нагнетательная ЮВ1 </v>
          </cell>
        </row>
        <row r="97">
          <cell r="B97" t="str">
            <v>ООО "Сервис-ТЭК"</v>
          </cell>
          <cell r="D97" t="str">
            <v>Северо-Кетское</v>
          </cell>
          <cell r="J97" t="str">
            <v>Нагнетательная ЮВ1(2+3)</v>
          </cell>
        </row>
        <row r="98">
          <cell r="B98" t="str">
            <v>ООО "Сибтехнобурпроект"</v>
          </cell>
          <cell r="D98" t="str">
            <v>Северо-Пямалияхское</v>
          </cell>
          <cell r="J98" t="str">
            <v>Нагнетательная ЮВ-10</v>
          </cell>
        </row>
        <row r="99">
          <cell r="B99" t="str">
            <v>ООО "Системный буровой сервис"</v>
          </cell>
          <cell r="D99" t="str">
            <v>Северо-Романовское</v>
          </cell>
          <cell r="J99" t="str">
            <v>Нагнетательная ЮВ2</v>
          </cell>
        </row>
        <row r="100">
          <cell r="B100" t="str">
            <v>ООО "Смит Интернэшнл Си-Ай-Эс"</v>
          </cell>
          <cell r="D100" t="str">
            <v>Северо-Янгтинское</v>
          </cell>
          <cell r="J100" t="str">
            <v>Нагнетательная ЮВ4</v>
          </cell>
        </row>
        <row r="101">
          <cell r="B101" t="str">
            <v>ООО "СТК"</v>
          </cell>
          <cell r="D101" t="str">
            <v>Северо-Янгтинское</v>
          </cell>
          <cell r="J101" t="str">
            <v>Нагнетательная ЮВ4</v>
          </cell>
        </row>
        <row r="102">
          <cell r="B102" t="str">
            <v>ООО БСК "Ринако"</v>
          </cell>
          <cell r="D102" t="str">
            <v>Спорышевское</v>
          </cell>
          <cell r="J102" t="str">
            <v>Нагнетательная ЮВ8+9</v>
          </cell>
        </row>
        <row r="103">
          <cell r="B103" t="str">
            <v>ООО Геотайм</v>
          </cell>
          <cell r="D103" t="str">
            <v>Средне-Итурское</v>
          </cell>
          <cell r="J103" t="str">
            <v>Нагнетательная с отработкой АВ1-3</v>
          </cell>
        </row>
        <row r="104">
          <cell r="B104" t="str">
            <v>ООО ЗСФ "БК "Евразия"</v>
          </cell>
          <cell r="D104" t="str">
            <v>Средне-Таймуринское</v>
          </cell>
          <cell r="J104" t="str">
            <v>Нагнетательная с отработкой АВ7-8</v>
          </cell>
        </row>
        <row r="105">
          <cell r="B105" t="str">
            <v>ООО НПП "Буринтех"</v>
          </cell>
          <cell r="D105" t="str">
            <v>Сугмутское</v>
          </cell>
          <cell r="J105" t="str">
            <v>Нагнетательная с отработкой Ач</v>
          </cell>
        </row>
        <row r="106">
          <cell r="B106" t="str">
            <v>ООО НТЦ "ЗЭРС"</v>
          </cell>
          <cell r="D106" t="str">
            <v>Суторминское</v>
          </cell>
          <cell r="J106" t="str">
            <v>Нагнетательная с отработкой БВ-0</v>
          </cell>
        </row>
        <row r="107">
          <cell r="B107" t="str">
            <v>ООО РуссИнтеграл ЗСНБК Пионер</v>
          </cell>
          <cell r="D107" t="str">
            <v>Троянское</v>
          </cell>
          <cell r="J107" t="str">
            <v>Нагнетательная с отработкой БВ-10</v>
          </cell>
        </row>
        <row r="108">
          <cell r="B108" t="str">
            <v>ООО Спец. УБР  Уват"</v>
          </cell>
          <cell r="D108" t="str">
            <v>Умсейское</v>
          </cell>
          <cell r="J108" t="str">
            <v>Нагнетательная с отработкой БВ-11</v>
          </cell>
        </row>
        <row r="109">
          <cell r="B109" t="str">
            <v>Ринако</v>
          </cell>
          <cell r="D109" t="str">
            <v>Холмистое</v>
          </cell>
          <cell r="J109" t="str">
            <v>Нагнетательная с отработкой ПК-19</v>
          </cell>
        </row>
        <row r="110">
          <cell r="B110" t="str">
            <v>Тюменьпромгеофизика</v>
          </cell>
          <cell r="D110" t="str">
            <v>Холмогорское</v>
          </cell>
          <cell r="J110" t="str">
            <v>Нагнетательная с отработкой ПК-20</v>
          </cell>
        </row>
        <row r="111">
          <cell r="B111" t="str">
            <v>ООО "НТ-Сервис"</v>
          </cell>
          <cell r="D111" t="str">
            <v>Хотого-Мурбайское</v>
          </cell>
          <cell r="J111" t="str">
            <v>Нагнетательная с отработкой Ю1-1</v>
          </cell>
        </row>
        <row r="112">
          <cell r="B112" t="str">
            <v>Ямал Петросервис</v>
          </cell>
          <cell r="D112" t="str">
            <v>Чатылькинское</v>
          </cell>
          <cell r="J112" t="str">
            <v xml:space="preserve">Нагнетательная с отработкой ЮВ1 </v>
          </cell>
        </row>
        <row r="113">
          <cell r="D113" t="str">
            <v>Южно-Памельяхинское</v>
          </cell>
          <cell r="J113" t="str">
            <v>Нагнетательная с отработкой ЮВ1(2+3)</v>
          </cell>
        </row>
        <row r="114">
          <cell r="D114" t="str">
            <v>Южно-Пурпейское</v>
          </cell>
          <cell r="J114" t="str">
            <v>Нагнетательная с отработкой ЮВ-10</v>
          </cell>
        </row>
        <row r="115">
          <cell r="D115" t="str">
            <v>Южно-Торавейское</v>
          </cell>
          <cell r="J115" t="str">
            <v>Нагнетательная с отработкой ЮВ2</v>
          </cell>
        </row>
        <row r="116">
          <cell r="D116" t="str">
            <v>Южно-Удмуртское</v>
          </cell>
          <cell r="J116" t="str">
            <v>Нагнетательная с отработкой ЮВ4</v>
          </cell>
        </row>
        <row r="117">
          <cell r="D117" t="str">
            <v>Ярайнерское</v>
          </cell>
          <cell r="J117" t="str">
            <v>Нагнетательная с отработкой ЮВ4</v>
          </cell>
        </row>
        <row r="118">
          <cell r="J118" t="str">
            <v>Нагнетательная с отработкой ЮВ8+9</v>
          </cell>
        </row>
      </sheetData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Отчет"/>
      <sheetName val="База"/>
      <sheetName val="Коды_База"/>
    </sheetNames>
    <sheetDataSet>
      <sheetData sheetId="0" refreshError="1"/>
      <sheetData sheetId="1" refreshError="1"/>
      <sheetData sheetId="2" refreshError="1">
        <row r="1">
          <cell r="A1" t="str">
            <v>КОД</v>
          </cell>
        </row>
        <row r="2">
          <cell r="A2">
            <v>10</v>
          </cell>
        </row>
        <row r="3">
          <cell r="A3">
            <v>11</v>
          </cell>
        </row>
        <row r="4">
          <cell r="A4">
            <v>12</v>
          </cell>
        </row>
        <row r="5">
          <cell r="A5">
            <v>13</v>
          </cell>
        </row>
        <row r="6">
          <cell r="A6">
            <v>14</v>
          </cell>
        </row>
        <row r="7">
          <cell r="A7">
            <v>15</v>
          </cell>
        </row>
        <row r="8">
          <cell r="A8">
            <v>16</v>
          </cell>
        </row>
        <row r="9">
          <cell r="A9">
            <v>17</v>
          </cell>
        </row>
        <row r="10">
          <cell r="A10">
            <v>21</v>
          </cell>
        </row>
        <row r="11">
          <cell r="A11">
            <v>22</v>
          </cell>
        </row>
        <row r="12">
          <cell r="A12">
            <v>23</v>
          </cell>
        </row>
        <row r="13">
          <cell r="A13">
            <v>24</v>
          </cell>
        </row>
        <row r="14">
          <cell r="A14">
            <v>25</v>
          </cell>
        </row>
        <row r="15">
          <cell r="A15">
            <v>26</v>
          </cell>
        </row>
        <row r="16">
          <cell r="A16">
            <v>27</v>
          </cell>
        </row>
        <row r="17">
          <cell r="A17">
            <v>28</v>
          </cell>
        </row>
        <row r="18">
          <cell r="A18">
            <v>29</v>
          </cell>
        </row>
        <row r="19">
          <cell r="A19">
            <v>30</v>
          </cell>
        </row>
        <row r="20">
          <cell r="A20">
            <v>40</v>
          </cell>
        </row>
        <row r="21">
          <cell r="A21">
            <v>51</v>
          </cell>
        </row>
        <row r="22">
          <cell r="A22">
            <v>52</v>
          </cell>
        </row>
        <row r="23">
          <cell r="A23">
            <v>53</v>
          </cell>
        </row>
        <row r="24">
          <cell r="A24">
            <v>54</v>
          </cell>
        </row>
        <row r="25">
          <cell r="A25">
            <v>55</v>
          </cell>
        </row>
        <row r="26">
          <cell r="A26">
            <v>56</v>
          </cell>
        </row>
        <row r="27">
          <cell r="A27">
            <v>57</v>
          </cell>
        </row>
        <row r="28">
          <cell r="A28">
            <v>58</v>
          </cell>
        </row>
        <row r="29">
          <cell r="A29">
            <v>59</v>
          </cell>
        </row>
        <row r="30">
          <cell r="A30">
            <v>60</v>
          </cell>
        </row>
        <row r="31">
          <cell r="A31">
            <v>70</v>
          </cell>
        </row>
        <row r="32">
          <cell r="A32">
            <v>99</v>
          </cell>
        </row>
        <row r="33">
          <cell r="A33">
            <v>100</v>
          </cell>
        </row>
        <row r="34">
          <cell r="A34">
            <v>101</v>
          </cell>
        </row>
        <row r="35">
          <cell r="A35">
            <v>102</v>
          </cell>
        </row>
        <row r="36">
          <cell r="A36">
            <v>103</v>
          </cell>
        </row>
        <row r="37">
          <cell r="A37">
            <v>104</v>
          </cell>
        </row>
        <row r="38">
          <cell r="A38">
            <v>105</v>
          </cell>
        </row>
        <row r="39">
          <cell r="A39">
            <v>106</v>
          </cell>
        </row>
        <row r="40">
          <cell r="A40">
            <v>107</v>
          </cell>
        </row>
        <row r="41">
          <cell r="A41">
            <v>108</v>
          </cell>
        </row>
        <row r="42">
          <cell r="A42">
            <v>109</v>
          </cell>
        </row>
        <row r="43">
          <cell r="A43">
            <v>110</v>
          </cell>
        </row>
        <row r="44">
          <cell r="A44">
            <v>111</v>
          </cell>
        </row>
        <row r="45">
          <cell r="A45">
            <v>112</v>
          </cell>
        </row>
        <row r="46">
          <cell r="A46">
            <v>113</v>
          </cell>
        </row>
        <row r="47">
          <cell r="A47">
            <v>114</v>
          </cell>
        </row>
        <row r="48">
          <cell r="A48">
            <v>115</v>
          </cell>
        </row>
        <row r="49">
          <cell r="A49">
            <v>116</v>
          </cell>
        </row>
        <row r="50">
          <cell r="A50">
            <v>117</v>
          </cell>
        </row>
        <row r="51">
          <cell r="A51">
            <v>118</v>
          </cell>
        </row>
        <row r="52">
          <cell r="A52">
            <v>119</v>
          </cell>
        </row>
        <row r="53">
          <cell r="A53">
            <v>120</v>
          </cell>
        </row>
        <row r="54">
          <cell r="A54">
            <v>199</v>
          </cell>
        </row>
        <row r="55">
          <cell r="A55">
            <v>200</v>
          </cell>
        </row>
        <row r="56">
          <cell r="A56">
            <v>201</v>
          </cell>
        </row>
        <row r="57">
          <cell r="A57">
            <v>202</v>
          </cell>
        </row>
        <row r="58">
          <cell r="A58">
            <v>203</v>
          </cell>
        </row>
        <row r="59">
          <cell r="A59">
            <v>204</v>
          </cell>
        </row>
        <row r="60">
          <cell r="A60">
            <v>205</v>
          </cell>
        </row>
        <row r="61">
          <cell r="A61">
            <v>206</v>
          </cell>
        </row>
        <row r="62">
          <cell r="A62">
            <v>207</v>
          </cell>
        </row>
        <row r="63">
          <cell r="A63">
            <v>208</v>
          </cell>
        </row>
        <row r="64">
          <cell r="A64">
            <v>209</v>
          </cell>
        </row>
        <row r="65">
          <cell r="A65">
            <v>210</v>
          </cell>
        </row>
        <row r="66">
          <cell r="A66">
            <v>211</v>
          </cell>
        </row>
        <row r="67">
          <cell r="A67">
            <v>212</v>
          </cell>
        </row>
        <row r="68">
          <cell r="A68">
            <v>213</v>
          </cell>
        </row>
        <row r="69">
          <cell r="A69">
            <v>214</v>
          </cell>
        </row>
        <row r="70">
          <cell r="A70">
            <v>215</v>
          </cell>
        </row>
        <row r="71">
          <cell r="A71">
            <v>216</v>
          </cell>
        </row>
        <row r="72">
          <cell r="A72">
            <v>217</v>
          </cell>
        </row>
        <row r="73">
          <cell r="A73">
            <v>218</v>
          </cell>
        </row>
        <row r="74">
          <cell r="A74">
            <v>219</v>
          </cell>
        </row>
        <row r="75">
          <cell r="A75">
            <v>220</v>
          </cell>
        </row>
        <row r="76">
          <cell r="A76">
            <v>299</v>
          </cell>
        </row>
        <row r="77">
          <cell r="A77">
            <v>300</v>
          </cell>
        </row>
        <row r="78">
          <cell r="A78">
            <v>301</v>
          </cell>
        </row>
        <row r="79">
          <cell r="A79">
            <v>302</v>
          </cell>
        </row>
        <row r="80">
          <cell r="A80">
            <v>303</v>
          </cell>
        </row>
        <row r="81">
          <cell r="A81">
            <v>304</v>
          </cell>
        </row>
        <row r="82">
          <cell r="A82">
            <v>305</v>
          </cell>
        </row>
        <row r="83">
          <cell r="A83">
            <v>306</v>
          </cell>
        </row>
        <row r="84">
          <cell r="A84">
            <v>307</v>
          </cell>
        </row>
        <row r="85">
          <cell r="A85">
            <v>308</v>
          </cell>
        </row>
        <row r="86">
          <cell r="A86">
            <v>309</v>
          </cell>
        </row>
        <row r="87">
          <cell r="A87">
            <v>310</v>
          </cell>
        </row>
        <row r="88">
          <cell r="A88">
            <v>311</v>
          </cell>
        </row>
        <row r="89">
          <cell r="A89">
            <v>312</v>
          </cell>
        </row>
        <row r="90">
          <cell r="A90">
            <v>313</v>
          </cell>
        </row>
        <row r="91">
          <cell r="A91">
            <v>314</v>
          </cell>
        </row>
        <row r="92">
          <cell r="A92">
            <v>315</v>
          </cell>
        </row>
        <row r="93">
          <cell r="A93">
            <v>316</v>
          </cell>
        </row>
        <row r="94">
          <cell r="A94">
            <v>317</v>
          </cell>
        </row>
        <row r="95">
          <cell r="A95">
            <v>318</v>
          </cell>
        </row>
        <row r="96">
          <cell r="A96">
            <v>319</v>
          </cell>
        </row>
        <row r="97">
          <cell r="A97">
            <v>320</v>
          </cell>
        </row>
        <row r="98">
          <cell r="A98">
            <v>399</v>
          </cell>
        </row>
        <row r="99">
          <cell r="A99">
            <v>400</v>
          </cell>
        </row>
        <row r="100">
          <cell r="A100">
            <v>401</v>
          </cell>
        </row>
        <row r="101">
          <cell r="A101">
            <v>402</v>
          </cell>
        </row>
        <row r="102">
          <cell r="A102">
            <v>403</v>
          </cell>
        </row>
        <row r="103">
          <cell r="A103">
            <v>404</v>
          </cell>
        </row>
        <row r="104">
          <cell r="A104">
            <v>405</v>
          </cell>
        </row>
        <row r="105">
          <cell r="A105">
            <v>406</v>
          </cell>
        </row>
        <row r="106">
          <cell r="A106">
            <v>407</v>
          </cell>
        </row>
        <row r="107">
          <cell r="A107">
            <v>408</v>
          </cell>
        </row>
        <row r="108">
          <cell r="A108">
            <v>409</v>
          </cell>
        </row>
        <row r="109">
          <cell r="A109">
            <v>410</v>
          </cell>
        </row>
        <row r="110">
          <cell r="A110">
            <v>411</v>
          </cell>
        </row>
        <row r="111">
          <cell r="A111">
            <v>412</v>
          </cell>
        </row>
        <row r="112">
          <cell r="A112">
            <v>413</v>
          </cell>
        </row>
        <row r="113">
          <cell r="A113">
            <v>414</v>
          </cell>
        </row>
        <row r="114">
          <cell r="A114">
            <v>415</v>
          </cell>
        </row>
        <row r="115">
          <cell r="A115">
            <v>416</v>
          </cell>
        </row>
        <row r="116">
          <cell r="A116">
            <v>417</v>
          </cell>
        </row>
        <row r="117">
          <cell r="A117">
            <v>418</v>
          </cell>
        </row>
        <row r="118">
          <cell r="A118">
            <v>419</v>
          </cell>
        </row>
        <row r="119">
          <cell r="A119">
            <v>420</v>
          </cell>
        </row>
        <row r="120">
          <cell r="A120">
            <v>421</v>
          </cell>
        </row>
        <row r="121">
          <cell r="A121">
            <v>422</v>
          </cell>
        </row>
        <row r="122">
          <cell r="A122">
            <v>423</v>
          </cell>
        </row>
        <row r="123">
          <cell r="A123">
            <v>424</v>
          </cell>
        </row>
        <row r="124">
          <cell r="A124">
            <v>425</v>
          </cell>
        </row>
        <row r="125">
          <cell r="A125">
            <v>426</v>
          </cell>
        </row>
        <row r="126">
          <cell r="A126">
            <v>427</v>
          </cell>
        </row>
        <row r="127">
          <cell r="A127">
            <v>428</v>
          </cell>
        </row>
        <row r="128">
          <cell r="A128">
            <v>429</v>
          </cell>
        </row>
        <row r="129">
          <cell r="A129">
            <v>430</v>
          </cell>
        </row>
        <row r="130">
          <cell r="A130">
            <v>431</v>
          </cell>
        </row>
        <row r="131">
          <cell r="A131">
            <v>432</v>
          </cell>
        </row>
        <row r="132">
          <cell r="A132">
            <v>433</v>
          </cell>
        </row>
        <row r="133">
          <cell r="A133">
            <v>434</v>
          </cell>
        </row>
        <row r="134">
          <cell r="A134">
            <v>435</v>
          </cell>
        </row>
        <row r="135">
          <cell r="A135">
            <v>436</v>
          </cell>
        </row>
        <row r="136">
          <cell r="A136">
            <v>437</v>
          </cell>
        </row>
        <row r="137">
          <cell r="A137">
            <v>438</v>
          </cell>
        </row>
        <row r="138">
          <cell r="A138">
            <v>439</v>
          </cell>
        </row>
        <row r="139">
          <cell r="A139">
            <v>440</v>
          </cell>
        </row>
        <row r="140">
          <cell r="A140">
            <v>441</v>
          </cell>
        </row>
        <row r="141">
          <cell r="A141">
            <v>442</v>
          </cell>
        </row>
        <row r="142">
          <cell r="A142">
            <v>443</v>
          </cell>
        </row>
        <row r="143">
          <cell r="A143">
            <v>444</v>
          </cell>
        </row>
        <row r="144">
          <cell r="A144">
            <v>445</v>
          </cell>
        </row>
        <row r="145">
          <cell r="A145">
            <v>446</v>
          </cell>
        </row>
        <row r="146">
          <cell r="A146">
            <v>447</v>
          </cell>
        </row>
        <row r="147">
          <cell r="A147">
            <v>448</v>
          </cell>
        </row>
        <row r="148">
          <cell r="A148">
            <v>449</v>
          </cell>
        </row>
        <row r="149">
          <cell r="A149">
            <v>450</v>
          </cell>
        </row>
        <row r="150">
          <cell r="A150">
            <v>451</v>
          </cell>
        </row>
        <row r="151">
          <cell r="A151">
            <v>452</v>
          </cell>
        </row>
        <row r="152">
          <cell r="A152">
            <v>453</v>
          </cell>
        </row>
        <row r="153">
          <cell r="A153">
            <v>454</v>
          </cell>
        </row>
        <row r="154">
          <cell r="A154">
            <v>455</v>
          </cell>
        </row>
        <row r="155">
          <cell r="A155">
            <v>456</v>
          </cell>
        </row>
        <row r="156">
          <cell r="A156">
            <v>457</v>
          </cell>
        </row>
        <row r="157">
          <cell r="A157">
            <v>458</v>
          </cell>
        </row>
        <row r="158">
          <cell r="A158">
            <v>459</v>
          </cell>
        </row>
        <row r="159">
          <cell r="A159">
            <v>460</v>
          </cell>
        </row>
        <row r="160">
          <cell r="A160">
            <v>461</v>
          </cell>
        </row>
        <row r="161">
          <cell r="A161">
            <v>462</v>
          </cell>
        </row>
        <row r="162">
          <cell r="A162">
            <v>463</v>
          </cell>
        </row>
        <row r="163">
          <cell r="A163">
            <v>464</v>
          </cell>
        </row>
        <row r="164">
          <cell r="A164">
            <v>465</v>
          </cell>
        </row>
        <row r="165">
          <cell r="A165">
            <v>466</v>
          </cell>
        </row>
        <row r="166">
          <cell r="A166">
            <v>467</v>
          </cell>
        </row>
        <row r="167">
          <cell r="A167">
            <v>468</v>
          </cell>
        </row>
        <row r="168">
          <cell r="A168">
            <v>469</v>
          </cell>
        </row>
        <row r="169">
          <cell r="A169">
            <v>470</v>
          </cell>
        </row>
        <row r="170">
          <cell r="A170">
            <v>471</v>
          </cell>
        </row>
        <row r="171">
          <cell r="A171">
            <v>472</v>
          </cell>
        </row>
        <row r="172">
          <cell r="A172">
            <v>473</v>
          </cell>
        </row>
        <row r="173">
          <cell r="A173">
            <v>474</v>
          </cell>
        </row>
        <row r="174">
          <cell r="A174">
            <v>475</v>
          </cell>
        </row>
        <row r="175">
          <cell r="A175">
            <v>476</v>
          </cell>
        </row>
        <row r="176">
          <cell r="A176">
            <v>477</v>
          </cell>
        </row>
        <row r="177">
          <cell r="A177">
            <v>478</v>
          </cell>
        </row>
        <row r="178">
          <cell r="A178">
            <v>479</v>
          </cell>
        </row>
        <row r="179">
          <cell r="A179">
            <v>480</v>
          </cell>
        </row>
        <row r="180">
          <cell r="A180">
            <v>481</v>
          </cell>
        </row>
        <row r="181">
          <cell r="A181">
            <v>482</v>
          </cell>
        </row>
        <row r="182">
          <cell r="A182">
            <v>483</v>
          </cell>
        </row>
        <row r="183">
          <cell r="A183">
            <v>484</v>
          </cell>
        </row>
        <row r="184">
          <cell r="A184">
            <v>485</v>
          </cell>
        </row>
        <row r="185">
          <cell r="A185">
            <v>486</v>
          </cell>
        </row>
        <row r="186">
          <cell r="A186">
            <v>487</v>
          </cell>
        </row>
        <row r="187">
          <cell r="A187">
            <v>488</v>
          </cell>
        </row>
        <row r="188">
          <cell r="A188">
            <v>489</v>
          </cell>
        </row>
        <row r="189">
          <cell r="A189">
            <v>490</v>
          </cell>
        </row>
        <row r="190">
          <cell r="A190">
            <v>491</v>
          </cell>
        </row>
        <row r="191">
          <cell r="A191">
            <v>492</v>
          </cell>
        </row>
        <row r="192">
          <cell r="A192">
            <v>493</v>
          </cell>
        </row>
        <row r="193">
          <cell r="A193">
            <v>494</v>
          </cell>
        </row>
        <row r="194">
          <cell r="A194">
            <v>495</v>
          </cell>
        </row>
        <row r="195">
          <cell r="A195">
            <v>496</v>
          </cell>
        </row>
        <row r="196">
          <cell r="A196">
            <v>497</v>
          </cell>
        </row>
        <row r="197">
          <cell r="A197">
            <v>498</v>
          </cell>
        </row>
        <row r="198">
          <cell r="A198">
            <v>499</v>
          </cell>
        </row>
        <row r="199">
          <cell r="A199">
            <v>500</v>
          </cell>
        </row>
        <row r="200">
          <cell r="A200">
            <v>501</v>
          </cell>
        </row>
        <row r="201">
          <cell r="A201">
            <v>502</v>
          </cell>
        </row>
        <row r="202">
          <cell r="A202">
            <v>503</v>
          </cell>
        </row>
        <row r="203">
          <cell r="A203">
            <v>504</v>
          </cell>
        </row>
        <row r="204">
          <cell r="A204">
            <v>505</v>
          </cell>
        </row>
        <row r="205">
          <cell r="A205">
            <v>506</v>
          </cell>
        </row>
        <row r="206">
          <cell r="A206">
            <v>507</v>
          </cell>
        </row>
        <row r="207">
          <cell r="A207">
            <v>508</v>
          </cell>
        </row>
        <row r="208">
          <cell r="A208">
            <v>509</v>
          </cell>
        </row>
        <row r="209">
          <cell r="A209">
            <v>510</v>
          </cell>
        </row>
        <row r="210">
          <cell r="A210">
            <v>511</v>
          </cell>
        </row>
        <row r="211">
          <cell r="A211">
            <v>512</v>
          </cell>
        </row>
        <row r="212">
          <cell r="A212">
            <v>513</v>
          </cell>
        </row>
        <row r="213">
          <cell r="A213">
            <v>514</v>
          </cell>
        </row>
        <row r="214">
          <cell r="A214">
            <v>515</v>
          </cell>
        </row>
        <row r="215">
          <cell r="A215">
            <v>516</v>
          </cell>
        </row>
        <row r="216">
          <cell r="A216">
            <v>517</v>
          </cell>
        </row>
        <row r="217">
          <cell r="A217">
            <v>518</v>
          </cell>
        </row>
        <row r="218">
          <cell r="A218">
            <v>519</v>
          </cell>
        </row>
        <row r="219">
          <cell r="A219">
            <v>520</v>
          </cell>
        </row>
        <row r="220">
          <cell r="A220">
            <v>521</v>
          </cell>
        </row>
        <row r="221">
          <cell r="A221">
            <v>522</v>
          </cell>
        </row>
        <row r="222">
          <cell r="A222">
            <v>523</v>
          </cell>
        </row>
        <row r="223">
          <cell r="A223">
            <v>524</v>
          </cell>
        </row>
        <row r="224">
          <cell r="A224">
            <v>525</v>
          </cell>
        </row>
        <row r="225">
          <cell r="A225">
            <v>526</v>
          </cell>
        </row>
        <row r="226">
          <cell r="A226">
            <v>527</v>
          </cell>
        </row>
        <row r="227">
          <cell r="A227">
            <v>528</v>
          </cell>
        </row>
        <row r="228">
          <cell r="A228">
            <v>529</v>
          </cell>
        </row>
        <row r="229">
          <cell r="A229">
            <v>530</v>
          </cell>
        </row>
        <row r="230">
          <cell r="A230">
            <v>531</v>
          </cell>
        </row>
        <row r="231">
          <cell r="A231">
            <v>532</v>
          </cell>
        </row>
        <row r="232">
          <cell r="A232">
            <v>533</v>
          </cell>
        </row>
        <row r="233">
          <cell r="A233">
            <v>534</v>
          </cell>
        </row>
        <row r="234">
          <cell r="A234">
            <v>535</v>
          </cell>
        </row>
        <row r="235">
          <cell r="A235">
            <v>536</v>
          </cell>
        </row>
        <row r="236">
          <cell r="A236">
            <v>537</v>
          </cell>
        </row>
        <row r="237">
          <cell r="A237">
            <v>538</v>
          </cell>
        </row>
        <row r="238">
          <cell r="A238">
            <v>539</v>
          </cell>
        </row>
        <row r="239">
          <cell r="A239">
            <v>540</v>
          </cell>
        </row>
        <row r="240">
          <cell r="A240">
            <v>541</v>
          </cell>
        </row>
        <row r="241">
          <cell r="A241">
            <v>542</v>
          </cell>
        </row>
        <row r="242">
          <cell r="A242">
            <v>543</v>
          </cell>
        </row>
        <row r="243">
          <cell r="A243">
            <v>544</v>
          </cell>
        </row>
        <row r="244">
          <cell r="A244">
            <v>545</v>
          </cell>
        </row>
        <row r="245">
          <cell r="A245">
            <v>546</v>
          </cell>
        </row>
        <row r="246">
          <cell r="A246">
            <v>547</v>
          </cell>
        </row>
        <row r="247">
          <cell r="A247">
            <v>548</v>
          </cell>
        </row>
        <row r="248">
          <cell r="A248">
            <v>549</v>
          </cell>
        </row>
        <row r="249">
          <cell r="A249">
            <v>550</v>
          </cell>
        </row>
        <row r="250">
          <cell r="A250">
            <v>551</v>
          </cell>
        </row>
        <row r="251">
          <cell r="A251">
            <v>552</v>
          </cell>
        </row>
        <row r="252">
          <cell r="A252">
            <v>553</v>
          </cell>
        </row>
        <row r="253">
          <cell r="A253">
            <v>554</v>
          </cell>
        </row>
        <row r="254">
          <cell r="A254">
            <v>555</v>
          </cell>
        </row>
        <row r="255">
          <cell r="A255">
            <v>556</v>
          </cell>
        </row>
        <row r="256">
          <cell r="A256">
            <v>557</v>
          </cell>
        </row>
        <row r="257">
          <cell r="A257">
            <v>558</v>
          </cell>
        </row>
        <row r="258">
          <cell r="A258">
            <v>559</v>
          </cell>
        </row>
        <row r="259">
          <cell r="A259">
            <v>560</v>
          </cell>
        </row>
        <row r="260">
          <cell r="A260">
            <v>561</v>
          </cell>
        </row>
        <row r="261">
          <cell r="A261">
            <v>562</v>
          </cell>
        </row>
        <row r="262">
          <cell r="A262">
            <v>563</v>
          </cell>
        </row>
        <row r="263">
          <cell r="A263">
            <v>564</v>
          </cell>
        </row>
        <row r="264">
          <cell r="A264">
            <v>565</v>
          </cell>
        </row>
        <row r="265">
          <cell r="A265">
            <v>566</v>
          </cell>
        </row>
        <row r="266">
          <cell r="A266">
            <v>567</v>
          </cell>
        </row>
        <row r="267">
          <cell r="A267">
            <v>568</v>
          </cell>
        </row>
        <row r="268">
          <cell r="A268">
            <v>569</v>
          </cell>
        </row>
        <row r="269">
          <cell r="A269">
            <v>570</v>
          </cell>
        </row>
        <row r="270">
          <cell r="A270">
            <v>571</v>
          </cell>
        </row>
        <row r="271">
          <cell r="A271">
            <v>572</v>
          </cell>
        </row>
        <row r="272">
          <cell r="A272">
            <v>573</v>
          </cell>
        </row>
        <row r="273">
          <cell r="A273">
            <v>574</v>
          </cell>
        </row>
        <row r="274">
          <cell r="A274">
            <v>575</v>
          </cell>
        </row>
        <row r="275">
          <cell r="A275">
            <v>576</v>
          </cell>
        </row>
        <row r="276">
          <cell r="A276">
            <v>577</v>
          </cell>
        </row>
        <row r="277">
          <cell r="A277">
            <v>578</v>
          </cell>
        </row>
        <row r="278">
          <cell r="A278">
            <v>579</v>
          </cell>
        </row>
        <row r="279">
          <cell r="A279">
            <v>580</v>
          </cell>
        </row>
        <row r="280">
          <cell r="A280">
            <v>581</v>
          </cell>
        </row>
        <row r="281">
          <cell r="A281">
            <v>582</v>
          </cell>
        </row>
        <row r="282">
          <cell r="A282">
            <v>583</v>
          </cell>
        </row>
        <row r="283">
          <cell r="A283">
            <v>584</v>
          </cell>
        </row>
        <row r="284">
          <cell r="A284">
            <v>585</v>
          </cell>
        </row>
        <row r="285">
          <cell r="A285">
            <v>586</v>
          </cell>
        </row>
        <row r="286">
          <cell r="A286">
            <v>587</v>
          </cell>
        </row>
        <row r="287">
          <cell r="A287">
            <v>588</v>
          </cell>
        </row>
        <row r="288">
          <cell r="A288">
            <v>589</v>
          </cell>
        </row>
        <row r="289">
          <cell r="A289">
            <v>590</v>
          </cell>
        </row>
        <row r="290">
          <cell r="A290">
            <v>591</v>
          </cell>
        </row>
        <row r="291">
          <cell r="A291">
            <v>592</v>
          </cell>
        </row>
        <row r="292">
          <cell r="A292">
            <v>593</v>
          </cell>
        </row>
        <row r="293">
          <cell r="A293">
            <v>594</v>
          </cell>
        </row>
        <row r="294">
          <cell r="A294">
            <v>595</v>
          </cell>
        </row>
        <row r="295">
          <cell r="A295">
            <v>596</v>
          </cell>
        </row>
        <row r="296">
          <cell r="A296">
            <v>597</v>
          </cell>
        </row>
        <row r="297">
          <cell r="A297">
            <v>598</v>
          </cell>
        </row>
        <row r="298">
          <cell r="A298">
            <v>599</v>
          </cell>
        </row>
        <row r="299">
          <cell r="A299">
            <v>600</v>
          </cell>
        </row>
        <row r="300">
          <cell r="A300">
            <v>601</v>
          </cell>
        </row>
        <row r="301">
          <cell r="A301">
            <v>602</v>
          </cell>
        </row>
        <row r="302">
          <cell r="A302">
            <v>603</v>
          </cell>
        </row>
        <row r="303">
          <cell r="A303">
            <v>604</v>
          </cell>
        </row>
        <row r="304">
          <cell r="A304">
            <v>605</v>
          </cell>
        </row>
        <row r="305">
          <cell r="A305">
            <v>606</v>
          </cell>
        </row>
        <row r="306">
          <cell r="A306">
            <v>607</v>
          </cell>
        </row>
        <row r="307">
          <cell r="A307">
            <v>608</v>
          </cell>
        </row>
        <row r="308">
          <cell r="A308">
            <v>609</v>
          </cell>
        </row>
        <row r="309">
          <cell r="A309">
            <v>610</v>
          </cell>
        </row>
        <row r="310">
          <cell r="A310">
            <v>611</v>
          </cell>
        </row>
        <row r="311">
          <cell r="A311">
            <v>612</v>
          </cell>
        </row>
        <row r="312">
          <cell r="A312">
            <v>613</v>
          </cell>
        </row>
        <row r="313">
          <cell r="A313">
            <v>614</v>
          </cell>
        </row>
        <row r="314">
          <cell r="A314">
            <v>615</v>
          </cell>
        </row>
        <row r="315">
          <cell r="A315">
            <v>616</v>
          </cell>
        </row>
        <row r="316">
          <cell r="A316">
            <v>617</v>
          </cell>
        </row>
        <row r="317">
          <cell r="A317">
            <v>618</v>
          </cell>
        </row>
        <row r="318">
          <cell r="A318">
            <v>619</v>
          </cell>
        </row>
        <row r="319">
          <cell r="A319">
            <v>620</v>
          </cell>
        </row>
        <row r="320">
          <cell r="A320">
            <v>621</v>
          </cell>
        </row>
        <row r="321">
          <cell r="A321">
            <v>622</v>
          </cell>
        </row>
        <row r="322">
          <cell r="A322">
            <v>623</v>
          </cell>
        </row>
        <row r="323">
          <cell r="A323">
            <v>624</v>
          </cell>
        </row>
        <row r="324">
          <cell r="A324">
            <v>625</v>
          </cell>
        </row>
        <row r="325">
          <cell r="A325">
            <v>626</v>
          </cell>
        </row>
        <row r="326">
          <cell r="A326">
            <v>627</v>
          </cell>
        </row>
        <row r="327">
          <cell r="A327">
            <v>628</v>
          </cell>
        </row>
        <row r="328">
          <cell r="A328">
            <v>629</v>
          </cell>
        </row>
        <row r="329">
          <cell r="A329">
            <v>630</v>
          </cell>
        </row>
        <row r="330">
          <cell r="A330">
            <v>631</v>
          </cell>
        </row>
        <row r="331">
          <cell r="A331">
            <v>632</v>
          </cell>
        </row>
        <row r="332">
          <cell r="A332">
            <v>633</v>
          </cell>
        </row>
        <row r="333">
          <cell r="A333">
            <v>634</v>
          </cell>
        </row>
        <row r="334">
          <cell r="A334">
            <v>635</v>
          </cell>
        </row>
        <row r="335">
          <cell r="A335">
            <v>636</v>
          </cell>
        </row>
        <row r="336">
          <cell r="A336">
            <v>637</v>
          </cell>
        </row>
        <row r="337">
          <cell r="A337">
            <v>638</v>
          </cell>
        </row>
        <row r="338">
          <cell r="A338">
            <v>639</v>
          </cell>
        </row>
        <row r="339">
          <cell r="A339">
            <v>640</v>
          </cell>
        </row>
        <row r="340">
          <cell r="A340">
            <v>641</v>
          </cell>
        </row>
        <row r="341">
          <cell r="A341">
            <v>642</v>
          </cell>
        </row>
        <row r="342">
          <cell r="A342">
            <v>643</v>
          </cell>
        </row>
        <row r="343">
          <cell r="A343">
            <v>644</v>
          </cell>
        </row>
        <row r="344">
          <cell r="A344">
            <v>645</v>
          </cell>
        </row>
        <row r="345">
          <cell r="A345">
            <v>646</v>
          </cell>
        </row>
        <row r="346">
          <cell r="A346">
            <v>647</v>
          </cell>
        </row>
        <row r="347">
          <cell r="A347">
            <v>648</v>
          </cell>
        </row>
        <row r="348">
          <cell r="A348">
            <v>649</v>
          </cell>
        </row>
        <row r="349">
          <cell r="A349">
            <v>650</v>
          </cell>
        </row>
        <row r="350">
          <cell r="A350">
            <v>651</v>
          </cell>
        </row>
        <row r="351">
          <cell r="A351">
            <v>652</v>
          </cell>
        </row>
        <row r="352">
          <cell r="A352">
            <v>653</v>
          </cell>
        </row>
        <row r="353">
          <cell r="A353">
            <v>654</v>
          </cell>
        </row>
        <row r="354">
          <cell r="A354">
            <v>655</v>
          </cell>
        </row>
        <row r="355">
          <cell r="A355">
            <v>656</v>
          </cell>
        </row>
        <row r="356">
          <cell r="A356">
            <v>657</v>
          </cell>
        </row>
        <row r="357">
          <cell r="A357">
            <v>658</v>
          </cell>
        </row>
        <row r="358">
          <cell r="A358">
            <v>659</v>
          </cell>
        </row>
        <row r="359">
          <cell r="A359">
            <v>660</v>
          </cell>
        </row>
        <row r="360">
          <cell r="A360">
            <v>661</v>
          </cell>
        </row>
        <row r="361">
          <cell r="A361">
            <v>662</v>
          </cell>
        </row>
        <row r="362">
          <cell r="A362">
            <v>663</v>
          </cell>
        </row>
        <row r="363">
          <cell r="A363">
            <v>664</v>
          </cell>
        </row>
        <row r="364">
          <cell r="A364">
            <v>665</v>
          </cell>
        </row>
        <row r="365">
          <cell r="A365">
            <v>666</v>
          </cell>
        </row>
        <row r="366">
          <cell r="A366">
            <v>667</v>
          </cell>
        </row>
        <row r="367">
          <cell r="A367">
            <v>668</v>
          </cell>
        </row>
        <row r="368">
          <cell r="A368">
            <v>669</v>
          </cell>
        </row>
        <row r="369">
          <cell r="A369">
            <v>670</v>
          </cell>
        </row>
        <row r="370">
          <cell r="A370">
            <v>671</v>
          </cell>
        </row>
        <row r="371">
          <cell r="A371">
            <v>672</v>
          </cell>
        </row>
        <row r="372">
          <cell r="A372">
            <v>673</v>
          </cell>
        </row>
        <row r="373">
          <cell r="A373">
            <v>674</v>
          </cell>
        </row>
        <row r="374">
          <cell r="A374">
            <v>675</v>
          </cell>
        </row>
        <row r="375">
          <cell r="A375">
            <v>676</v>
          </cell>
        </row>
        <row r="376">
          <cell r="A376">
            <v>677</v>
          </cell>
        </row>
        <row r="377">
          <cell r="A377">
            <v>678</v>
          </cell>
        </row>
        <row r="378">
          <cell r="A378">
            <v>679</v>
          </cell>
        </row>
        <row r="379">
          <cell r="A379">
            <v>680</v>
          </cell>
        </row>
        <row r="380">
          <cell r="A380">
            <v>681</v>
          </cell>
        </row>
        <row r="381">
          <cell r="A381">
            <v>682</v>
          </cell>
        </row>
        <row r="382">
          <cell r="A382">
            <v>683</v>
          </cell>
        </row>
        <row r="383">
          <cell r="A383">
            <v>684</v>
          </cell>
        </row>
        <row r="384">
          <cell r="A384">
            <v>685</v>
          </cell>
        </row>
        <row r="385">
          <cell r="A385">
            <v>686</v>
          </cell>
        </row>
        <row r="386">
          <cell r="A386">
            <v>687</v>
          </cell>
        </row>
        <row r="387">
          <cell r="A387">
            <v>688</v>
          </cell>
        </row>
        <row r="388">
          <cell r="A388">
            <v>689</v>
          </cell>
        </row>
        <row r="389">
          <cell r="A389">
            <v>690</v>
          </cell>
        </row>
        <row r="390">
          <cell r="A390">
            <v>691</v>
          </cell>
        </row>
        <row r="391">
          <cell r="A391">
            <v>692</v>
          </cell>
        </row>
        <row r="392">
          <cell r="A392">
            <v>693</v>
          </cell>
        </row>
        <row r="393">
          <cell r="A393">
            <v>694</v>
          </cell>
        </row>
        <row r="394">
          <cell r="A394">
            <v>695</v>
          </cell>
        </row>
        <row r="395">
          <cell r="A395">
            <v>696</v>
          </cell>
        </row>
        <row r="396">
          <cell r="A396">
            <v>697</v>
          </cell>
        </row>
        <row r="397">
          <cell r="A397">
            <v>698</v>
          </cell>
        </row>
        <row r="398">
          <cell r="A398">
            <v>699</v>
          </cell>
        </row>
        <row r="399">
          <cell r="A399">
            <v>700</v>
          </cell>
        </row>
        <row r="400">
          <cell r="A400">
            <v>701</v>
          </cell>
        </row>
        <row r="401">
          <cell r="A401">
            <v>702</v>
          </cell>
        </row>
        <row r="402">
          <cell r="A402">
            <v>703</v>
          </cell>
        </row>
        <row r="403">
          <cell r="A403">
            <v>704</v>
          </cell>
        </row>
        <row r="404">
          <cell r="A404">
            <v>705</v>
          </cell>
        </row>
        <row r="405">
          <cell r="A405">
            <v>706</v>
          </cell>
        </row>
        <row r="406">
          <cell r="A406">
            <v>707</v>
          </cell>
        </row>
        <row r="407">
          <cell r="A407">
            <v>708</v>
          </cell>
        </row>
        <row r="408">
          <cell r="A408">
            <v>709</v>
          </cell>
        </row>
        <row r="409">
          <cell r="A409">
            <v>710</v>
          </cell>
        </row>
        <row r="410">
          <cell r="A410">
            <v>711</v>
          </cell>
        </row>
        <row r="411">
          <cell r="A411">
            <v>712</v>
          </cell>
        </row>
        <row r="412">
          <cell r="A412">
            <v>713</v>
          </cell>
        </row>
        <row r="413">
          <cell r="A413">
            <v>714</v>
          </cell>
        </row>
        <row r="414">
          <cell r="A414">
            <v>715</v>
          </cell>
        </row>
        <row r="415">
          <cell r="A415">
            <v>716</v>
          </cell>
        </row>
        <row r="416">
          <cell r="A416">
            <v>717</v>
          </cell>
        </row>
        <row r="417">
          <cell r="A417">
            <v>718</v>
          </cell>
        </row>
        <row r="418">
          <cell r="A418">
            <v>719</v>
          </cell>
        </row>
        <row r="419">
          <cell r="A419">
            <v>720</v>
          </cell>
        </row>
        <row r="420">
          <cell r="A420">
            <v>721</v>
          </cell>
        </row>
        <row r="421">
          <cell r="A421">
            <v>722</v>
          </cell>
        </row>
        <row r="422">
          <cell r="A422">
            <v>723</v>
          </cell>
        </row>
        <row r="423">
          <cell r="A423">
            <v>724</v>
          </cell>
        </row>
        <row r="424">
          <cell r="A424">
            <v>725</v>
          </cell>
        </row>
        <row r="425">
          <cell r="A425">
            <v>726</v>
          </cell>
        </row>
        <row r="426">
          <cell r="A426">
            <v>727</v>
          </cell>
        </row>
        <row r="427">
          <cell r="A427">
            <v>728</v>
          </cell>
        </row>
        <row r="428">
          <cell r="A428">
            <v>729</v>
          </cell>
        </row>
        <row r="429">
          <cell r="A429">
            <v>730</v>
          </cell>
        </row>
        <row r="430">
          <cell r="A430">
            <v>731</v>
          </cell>
        </row>
        <row r="431">
          <cell r="A431">
            <v>732</v>
          </cell>
        </row>
        <row r="432">
          <cell r="A432">
            <v>733</v>
          </cell>
        </row>
        <row r="433">
          <cell r="A433">
            <v>734</v>
          </cell>
        </row>
        <row r="434">
          <cell r="A434">
            <v>735</v>
          </cell>
        </row>
        <row r="435">
          <cell r="A435">
            <v>736</v>
          </cell>
        </row>
        <row r="436">
          <cell r="A436">
            <v>737</v>
          </cell>
        </row>
        <row r="437">
          <cell r="A437">
            <v>738</v>
          </cell>
        </row>
        <row r="438">
          <cell r="A438">
            <v>739</v>
          </cell>
        </row>
        <row r="439">
          <cell r="A439">
            <v>740</v>
          </cell>
        </row>
        <row r="440">
          <cell r="A440">
            <v>741</v>
          </cell>
        </row>
        <row r="441">
          <cell r="A441">
            <v>742</v>
          </cell>
        </row>
        <row r="442">
          <cell r="A442">
            <v>743</v>
          </cell>
        </row>
        <row r="443">
          <cell r="A443">
            <v>744</v>
          </cell>
        </row>
        <row r="444">
          <cell r="A444">
            <v>745</v>
          </cell>
        </row>
        <row r="445">
          <cell r="A445">
            <v>746</v>
          </cell>
        </row>
        <row r="446">
          <cell r="A446">
            <v>747</v>
          </cell>
        </row>
        <row r="447">
          <cell r="A447">
            <v>748</v>
          </cell>
        </row>
        <row r="448">
          <cell r="A448">
            <v>749</v>
          </cell>
        </row>
        <row r="449">
          <cell r="A449">
            <v>750</v>
          </cell>
        </row>
        <row r="450">
          <cell r="A450">
            <v>751</v>
          </cell>
        </row>
        <row r="451">
          <cell r="A451">
            <v>752</v>
          </cell>
        </row>
        <row r="452">
          <cell r="A452">
            <v>753</v>
          </cell>
        </row>
        <row r="453">
          <cell r="A453">
            <v>754</v>
          </cell>
        </row>
        <row r="454">
          <cell r="A454">
            <v>755</v>
          </cell>
        </row>
        <row r="455">
          <cell r="A455">
            <v>756</v>
          </cell>
        </row>
        <row r="456">
          <cell r="A456">
            <v>757</v>
          </cell>
        </row>
        <row r="457">
          <cell r="A457">
            <v>758</v>
          </cell>
        </row>
        <row r="458">
          <cell r="A458">
            <v>759</v>
          </cell>
        </row>
        <row r="459">
          <cell r="A459">
            <v>760</v>
          </cell>
        </row>
        <row r="460">
          <cell r="A460">
            <v>761</v>
          </cell>
        </row>
        <row r="461">
          <cell r="A461">
            <v>762</v>
          </cell>
        </row>
        <row r="462">
          <cell r="A462">
            <v>763</v>
          </cell>
        </row>
        <row r="463">
          <cell r="A463">
            <v>764</v>
          </cell>
        </row>
        <row r="464">
          <cell r="A464">
            <v>765</v>
          </cell>
        </row>
        <row r="465">
          <cell r="A465">
            <v>766</v>
          </cell>
        </row>
        <row r="466">
          <cell r="A466">
            <v>767</v>
          </cell>
        </row>
        <row r="467">
          <cell r="A467">
            <v>768</v>
          </cell>
        </row>
        <row r="468">
          <cell r="A468">
            <v>769</v>
          </cell>
        </row>
        <row r="469">
          <cell r="A469">
            <v>770</v>
          </cell>
        </row>
        <row r="470">
          <cell r="A470">
            <v>771</v>
          </cell>
        </row>
        <row r="471">
          <cell r="A471">
            <v>772</v>
          </cell>
        </row>
        <row r="472">
          <cell r="A472">
            <v>773</v>
          </cell>
        </row>
        <row r="473">
          <cell r="A473">
            <v>774</v>
          </cell>
        </row>
        <row r="474">
          <cell r="A474">
            <v>775</v>
          </cell>
        </row>
        <row r="475">
          <cell r="A475">
            <v>776</v>
          </cell>
        </row>
        <row r="476">
          <cell r="A476">
            <v>777</v>
          </cell>
        </row>
        <row r="477">
          <cell r="A477">
            <v>778</v>
          </cell>
        </row>
        <row r="478">
          <cell r="A478">
            <v>779</v>
          </cell>
        </row>
        <row r="479">
          <cell r="A479">
            <v>780</v>
          </cell>
        </row>
        <row r="480">
          <cell r="A480">
            <v>781</v>
          </cell>
        </row>
        <row r="481">
          <cell r="A481">
            <v>782</v>
          </cell>
        </row>
        <row r="482">
          <cell r="A482">
            <v>783</v>
          </cell>
        </row>
        <row r="483">
          <cell r="A483">
            <v>784</v>
          </cell>
        </row>
        <row r="484">
          <cell r="A484">
            <v>785</v>
          </cell>
        </row>
        <row r="485">
          <cell r="A485">
            <v>786</v>
          </cell>
        </row>
        <row r="486">
          <cell r="A486">
            <v>787</v>
          </cell>
        </row>
        <row r="487">
          <cell r="A487">
            <v>788</v>
          </cell>
        </row>
        <row r="488">
          <cell r="A488">
            <v>789</v>
          </cell>
        </row>
        <row r="489">
          <cell r="A489">
            <v>790</v>
          </cell>
        </row>
        <row r="490">
          <cell r="A490">
            <v>791</v>
          </cell>
        </row>
        <row r="491">
          <cell r="A491">
            <v>792</v>
          </cell>
        </row>
        <row r="492">
          <cell r="A492">
            <v>793</v>
          </cell>
        </row>
        <row r="493">
          <cell r="A493">
            <v>794</v>
          </cell>
        </row>
        <row r="494">
          <cell r="A494">
            <v>795</v>
          </cell>
        </row>
        <row r="495">
          <cell r="A495">
            <v>796</v>
          </cell>
        </row>
        <row r="496">
          <cell r="A496">
            <v>797</v>
          </cell>
        </row>
        <row r="497">
          <cell r="A497">
            <v>798</v>
          </cell>
        </row>
        <row r="498">
          <cell r="A498">
            <v>799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ПП"/>
      <sheetName val="ПН"/>
      <sheetName val="ЦН"/>
      <sheetName val="ПК"/>
      <sheetName val="ЦК"/>
      <sheetName val="ПЭ"/>
      <sheetName val="ЦЭ"/>
      <sheetName val="Справочник по колоннам"/>
      <sheetName val="В КИП"/>
      <sheetName val="Проект"/>
      <sheetName val="Для прогр. бурения"/>
      <sheetName val="Инкл"/>
      <sheetName val="Верт проекц "/>
      <sheetName val="Гор проекц "/>
      <sheetName val="Справочник_по_колоннам"/>
      <sheetName val="В_КИП"/>
      <sheetName val="Для_прогр__бурения"/>
      <sheetName val="Верт_проекц_"/>
      <sheetName val="Гор_проекц_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>
        <row r="3">
          <cell r="B3">
            <v>657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оклад"/>
      <sheetName val="Фактический профиль"/>
      <sheetName val="Проектный профиль ЦГБ"/>
      <sheetName val="раствор"/>
      <sheetName val="Процентовка в месячный"/>
      <sheetName val="КНБК"/>
      <sheetName val="Лист1"/>
    </sheetNames>
    <sheetDataSet>
      <sheetData sheetId="0">
        <row r="22">
          <cell r="E22">
            <v>989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6AAF3-1D3C-4DFE-9596-3F7E1DA3BFA6}">
  <sheetPr codeName="Лист1"/>
  <dimension ref="C4:I16"/>
  <sheetViews>
    <sheetView tabSelected="1" workbookViewId="0">
      <selection activeCell="M8" sqref="M8"/>
    </sheetView>
  </sheetViews>
  <sheetFormatPr defaultRowHeight="15" x14ac:dyDescent="0.25"/>
  <cols>
    <col min="8" max="8" width="16.140625" customWidth="1"/>
    <col min="9" max="9" width="13.42578125" customWidth="1"/>
  </cols>
  <sheetData>
    <row r="4" spans="3:9" ht="21" x14ac:dyDescent="0.35">
      <c r="C4" s="1" t="s">
        <v>0</v>
      </c>
      <c r="E4" s="91">
        <v>950</v>
      </c>
      <c r="F4" s="2" t="s">
        <v>1</v>
      </c>
      <c r="G4" s="3"/>
      <c r="H4" s="93">
        <v>949.95672607421875</v>
      </c>
    </row>
    <row r="7" spans="3:9" x14ac:dyDescent="0.25">
      <c r="C7" s="4"/>
      <c r="D7" s="4"/>
      <c r="E7" s="4"/>
      <c r="F7" s="4"/>
      <c r="G7" s="4"/>
      <c r="H7" s="5"/>
      <c r="I7" s="5"/>
    </row>
    <row r="8" spans="3:9" ht="18.75" x14ac:dyDescent="0.3">
      <c r="C8" s="4"/>
      <c r="D8" s="6" t="s">
        <v>2</v>
      </c>
      <c r="E8" s="7"/>
      <c r="F8" s="7"/>
      <c r="G8" s="7"/>
      <c r="H8" s="8">
        <v>947.36</v>
      </c>
      <c r="I8" s="9">
        <v>947.36</v>
      </c>
    </row>
    <row r="9" spans="3:9" ht="18.75" x14ac:dyDescent="0.3">
      <c r="C9" s="4"/>
      <c r="D9" s="6" t="s">
        <v>3</v>
      </c>
      <c r="E9" s="7"/>
      <c r="F9" s="7"/>
      <c r="G9" s="7"/>
      <c r="H9" s="8">
        <v>947.33</v>
      </c>
      <c r="I9" s="9">
        <v>947.35264000000006</v>
      </c>
    </row>
    <row r="10" spans="3:9" ht="18.75" x14ac:dyDescent="0.3">
      <c r="C10" s="4"/>
      <c r="D10" s="6" t="s">
        <v>4</v>
      </c>
      <c r="E10" s="7"/>
      <c r="F10" s="7"/>
      <c r="G10" s="7"/>
      <c r="H10" s="8">
        <v>5.0599999999999996</v>
      </c>
      <c r="I10" s="9">
        <v>2.6040000000000019</v>
      </c>
    </row>
    <row r="11" spans="3:9" ht="18.75" x14ac:dyDescent="0.3">
      <c r="C11" s="4"/>
      <c r="D11" s="6" t="s">
        <v>5</v>
      </c>
      <c r="E11" s="7"/>
      <c r="F11" s="7"/>
      <c r="G11" s="7"/>
      <c r="H11" s="8">
        <v>92.644999999999996</v>
      </c>
      <c r="I11" s="9">
        <v>90.96</v>
      </c>
    </row>
    <row r="12" spans="3:9" ht="18.75" x14ac:dyDescent="0.3">
      <c r="C12" s="4"/>
      <c r="D12" s="6" t="s">
        <v>6</v>
      </c>
      <c r="E12" s="7"/>
      <c r="F12" s="7"/>
      <c r="G12" s="7"/>
      <c r="H12" s="9">
        <v>2.6164999999999998</v>
      </c>
      <c r="I12" s="9">
        <v>1.5</v>
      </c>
    </row>
    <row r="13" spans="3:9" ht="18.75" x14ac:dyDescent="0.3">
      <c r="C13" s="4"/>
      <c r="D13" s="6" t="s">
        <v>7</v>
      </c>
      <c r="E13" s="7"/>
      <c r="F13" s="7"/>
      <c r="G13" s="7"/>
      <c r="H13" s="9">
        <v>0.26</v>
      </c>
      <c r="I13" s="9">
        <v>0.41704000000000052</v>
      </c>
    </row>
    <row r="14" spans="3:9" ht="18.75" x14ac:dyDescent="0.3">
      <c r="C14" s="4" t="s">
        <v>8</v>
      </c>
      <c r="D14" s="10" t="s">
        <v>9</v>
      </c>
      <c r="E14" s="11"/>
      <c r="F14" s="12" t="s">
        <v>10</v>
      </c>
      <c r="G14" s="13"/>
      <c r="H14" s="7"/>
      <c r="I14" s="7"/>
    </row>
    <row r="15" spans="3:9" ht="18.75" x14ac:dyDescent="0.3">
      <c r="C15" s="4"/>
      <c r="D15" s="14" t="s">
        <v>11</v>
      </c>
      <c r="E15" s="11"/>
      <c r="F15" s="12" t="s">
        <v>12</v>
      </c>
      <c r="G15" s="11"/>
      <c r="H15" s="15"/>
      <c r="I15" s="7"/>
    </row>
    <row r="16" spans="3:9" ht="18.75" x14ac:dyDescent="0.3">
      <c r="C16" s="94" t="s">
        <v>13</v>
      </c>
      <c r="D16" s="94"/>
      <c r="E16" s="94"/>
      <c r="F16" s="95"/>
      <c r="G16" s="16"/>
      <c r="H16" s="15"/>
      <c r="I16" s="7"/>
    </row>
  </sheetData>
  <mergeCells count="1">
    <mergeCell ref="C16:F1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Рассчет_забоя">
                <anchor moveWithCells="1" sizeWithCells="1">
                  <from>
                    <xdr:col>11</xdr:col>
                    <xdr:colOff>161925</xdr:colOff>
                    <xdr:row>3</xdr:row>
                    <xdr:rowOff>85725</xdr:rowOff>
                  </from>
                  <to>
                    <xdr:col>12</xdr:col>
                    <xdr:colOff>447675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F1503-4279-4E67-BA80-962DBCF4AC0F}">
  <sheetPr codeName="Лист3">
    <tabColor rgb="FF92D050"/>
  </sheetPr>
  <dimension ref="A1:Z1048554"/>
  <sheetViews>
    <sheetView zoomScale="74" zoomScaleNormal="74" workbookViewId="0">
      <pane ySplit="2" topLeftCell="A3" activePane="bottomLeft" state="frozen"/>
      <selection pane="bottomLeft" activeCell="E4" sqref="E4"/>
    </sheetView>
  </sheetViews>
  <sheetFormatPr defaultColWidth="14.7109375" defaultRowHeight="12.75" x14ac:dyDescent="0.2"/>
  <cols>
    <col min="1" max="1" width="24.5703125" style="53" customWidth="1"/>
    <col min="2" max="2" width="15.85546875" style="53" customWidth="1"/>
    <col min="3" max="3" width="12.85546875" style="53" customWidth="1"/>
    <col min="4" max="4" width="14" style="53" customWidth="1"/>
    <col min="5" max="5" width="15" style="53" customWidth="1"/>
    <col min="6" max="6" width="16.42578125" style="53" customWidth="1"/>
    <col min="7" max="7" width="15.140625" style="53" customWidth="1"/>
    <col min="8" max="8" width="14.7109375" style="53" customWidth="1"/>
    <col min="9" max="9" width="14" style="53" customWidth="1"/>
    <col min="10" max="10" width="13.5703125" style="53" customWidth="1"/>
    <col min="11" max="11" width="13.7109375" style="53" customWidth="1"/>
    <col min="12" max="12" width="15.85546875" style="53" customWidth="1"/>
    <col min="13" max="13" width="17" style="53" customWidth="1"/>
    <col min="14" max="14" width="18.28515625" style="53" customWidth="1"/>
    <col min="15" max="15" width="14.5703125" style="53" customWidth="1"/>
    <col min="16" max="16" width="14" style="53" customWidth="1"/>
    <col min="17" max="17" width="14.28515625" style="53" customWidth="1"/>
    <col min="18" max="16384" width="14.7109375" style="53"/>
  </cols>
  <sheetData>
    <row r="1" spans="1:24" s="19" customFormat="1" ht="13.5" thickBot="1" x14ac:dyDescent="0.25">
      <c r="A1" s="17"/>
      <c r="B1" s="18">
        <v>1</v>
      </c>
      <c r="C1" s="18">
        <v>3</v>
      </c>
      <c r="D1" s="18"/>
      <c r="E1" s="18">
        <v>4</v>
      </c>
      <c r="F1" s="18">
        <v>2</v>
      </c>
      <c r="G1" s="18"/>
      <c r="H1" s="18"/>
      <c r="I1" s="18"/>
      <c r="J1" s="18">
        <v>6</v>
      </c>
      <c r="K1" s="18"/>
      <c r="L1" s="18"/>
      <c r="M1" s="18">
        <v>5</v>
      </c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</row>
    <row r="2" spans="1:24" s="28" customFormat="1" ht="13.5" thickBot="1" x14ac:dyDescent="0.25">
      <c r="A2" s="20"/>
      <c r="B2" s="21"/>
      <c r="C2" s="22"/>
      <c r="D2" s="22"/>
      <c r="E2" s="22"/>
      <c r="F2" s="22"/>
      <c r="G2" s="22"/>
      <c r="H2" s="22"/>
      <c r="I2" s="23"/>
      <c r="J2" s="23"/>
      <c r="K2" s="22"/>
      <c r="L2" s="22"/>
      <c r="M2" s="22"/>
      <c r="N2" s="24"/>
      <c r="O2" s="22"/>
      <c r="P2" s="25"/>
      <c r="Q2" s="26"/>
      <c r="R2" s="27"/>
      <c r="S2" s="18"/>
      <c r="T2" s="18"/>
      <c r="U2" s="18"/>
      <c r="V2" s="18"/>
      <c r="W2" s="18"/>
      <c r="X2" s="18"/>
    </row>
    <row r="3" spans="1:24" s="28" customFormat="1" ht="66" customHeight="1" thickBot="1" x14ac:dyDescent="0.25">
      <c r="A3" s="29"/>
      <c r="B3" s="30" t="s">
        <v>14</v>
      </c>
      <c r="C3" s="31" t="s">
        <v>15</v>
      </c>
      <c r="D3" s="31" t="s">
        <v>16</v>
      </c>
      <c r="E3" s="31" t="s">
        <v>17</v>
      </c>
      <c r="F3" s="31" t="s">
        <v>18</v>
      </c>
      <c r="G3" s="31" t="s">
        <v>19</v>
      </c>
      <c r="H3" s="32" t="s">
        <v>20</v>
      </c>
      <c r="I3" s="32" t="s">
        <v>21</v>
      </c>
      <c r="J3" s="31" t="s">
        <v>22</v>
      </c>
      <c r="K3" s="31" t="s">
        <v>23</v>
      </c>
      <c r="L3" s="31" t="s">
        <v>22</v>
      </c>
      <c r="M3" s="33" t="s">
        <v>24</v>
      </c>
      <c r="N3" s="31" t="s">
        <v>25</v>
      </c>
      <c r="O3" s="34" t="s">
        <v>26</v>
      </c>
      <c r="P3" s="35" t="s">
        <v>27</v>
      </c>
      <c r="Q3" s="36"/>
      <c r="R3" s="37"/>
      <c r="S3" s="18"/>
      <c r="T3" s="18"/>
      <c r="U3" s="18"/>
      <c r="V3" s="18"/>
      <c r="W3" s="18"/>
      <c r="X3" s="18"/>
    </row>
    <row r="4" spans="1:24" s="28" customFormat="1" ht="14.25" x14ac:dyDescent="0.2">
      <c r="A4" s="29"/>
      <c r="B4" s="38">
        <v>0</v>
      </c>
      <c r="C4" s="38">
        <v>0</v>
      </c>
      <c r="D4" s="38">
        <v>0</v>
      </c>
      <c r="E4" s="92">
        <v>0</v>
      </c>
      <c r="F4" s="38">
        <v>0</v>
      </c>
      <c r="G4" s="38">
        <v>-506.84</v>
      </c>
      <c r="H4" s="38">
        <v>0</v>
      </c>
      <c r="I4" s="38">
        <v>0</v>
      </c>
      <c r="J4" s="38">
        <v>0</v>
      </c>
      <c r="K4" s="38">
        <v>0</v>
      </c>
      <c r="L4" s="38"/>
      <c r="M4" s="38">
        <v>0</v>
      </c>
      <c r="N4" s="38">
        <v>0</v>
      </c>
      <c r="O4" s="38">
        <v>0</v>
      </c>
      <c r="P4" s="39"/>
      <c r="Q4" s="40"/>
      <c r="R4" s="37"/>
      <c r="S4" s="18"/>
      <c r="T4" s="18"/>
      <c r="U4" s="18"/>
      <c r="V4" s="18"/>
      <c r="W4" s="18"/>
      <c r="X4" s="18"/>
    </row>
    <row r="5" spans="1:24" s="28" customFormat="1" ht="14.25" x14ac:dyDescent="0.2">
      <c r="A5" s="29"/>
      <c r="B5" s="41">
        <v>900</v>
      </c>
      <c r="C5" s="41">
        <v>0</v>
      </c>
      <c r="D5" s="41">
        <v>0</v>
      </c>
      <c r="E5" s="41">
        <v>0</v>
      </c>
      <c r="F5" s="41">
        <v>900</v>
      </c>
      <c r="G5" s="41">
        <v>393.16</v>
      </c>
      <c r="H5" s="41">
        <v>0</v>
      </c>
      <c r="I5" s="41">
        <v>0</v>
      </c>
      <c r="J5" s="41">
        <v>0</v>
      </c>
      <c r="K5" s="41">
        <v>0</v>
      </c>
      <c r="L5" s="41"/>
      <c r="M5" s="41">
        <v>0</v>
      </c>
      <c r="N5" s="41">
        <v>0</v>
      </c>
      <c r="O5" s="41">
        <v>0</v>
      </c>
      <c r="P5" s="42"/>
      <c r="Q5" s="40"/>
      <c r="R5" s="37"/>
      <c r="S5" s="18"/>
      <c r="T5" s="18"/>
      <c r="U5" s="18"/>
      <c r="V5" s="18"/>
      <c r="W5" s="18"/>
      <c r="X5" s="18"/>
    </row>
    <row r="6" spans="1:24" s="28" customFormat="1" ht="14.25" x14ac:dyDescent="0.2">
      <c r="A6" s="43"/>
      <c r="B6" s="41">
        <v>920</v>
      </c>
      <c r="C6" s="41">
        <v>0</v>
      </c>
      <c r="D6" s="41">
        <v>0</v>
      </c>
      <c r="E6" s="41">
        <v>0</v>
      </c>
      <c r="F6" s="41">
        <v>920</v>
      </c>
      <c r="G6" s="41">
        <v>413.16</v>
      </c>
      <c r="H6" s="41">
        <v>0</v>
      </c>
      <c r="I6" s="41">
        <v>0</v>
      </c>
      <c r="J6" s="41">
        <v>0</v>
      </c>
      <c r="K6" s="41">
        <v>0</v>
      </c>
      <c r="L6" s="41"/>
      <c r="M6" s="41">
        <v>0</v>
      </c>
      <c r="N6" s="41">
        <v>0</v>
      </c>
      <c r="O6" s="41">
        <v>0</v>
      </c>
      <c r="P6" s="42"/>
      <c r="Q6" s="40"/>
      <c r="R6" s="37"/>
      <c r="S6" s="18"/>
      <c r="T6" s="18"/>
      <c r="U6" s="18"/>
      <c r="V6" s="18"/>
      <c r="W6" s="18"/>
      <c r="X6" s="18"/>
    </row>
    <row r="7" spans="1:24" s="28" customFormat="1" ht="14.25" x14ac:dyDescent="0.2">
      <c r="A7" s="43"/>
      <c r="B7" s="41">
        <v>935.27</v>
      </c>
      <c r="C7" s="41">
        <v>1.92</v>
      </c>
      <c r="D7" s="41">
        <v>94.87</v>
      </c>
      <c r="E7" s="41">
        <v>85.584999999999994</v>
      </c>
      <c r="F7" s="41">
        <v>935.27</v>
      </c>
      <c r="G7" s="41">
        <v>428.43</v>
      </c>
      <c r="H7" s="41">
        <v>0.02</v>
      </c>
      <c r="I7" s="41">
        <v>0.26</v>
      </c>
      <c r="J7" s="41">
        <v>0.26</v>
      </c>
      <c r="K7" s="41">
        <v>85.584999999999994</v>
      </c>
      <c r="L7" s="41"/>
      <c r="M7" s="41">
        <v>1.2574000000000001</v>
      </c>
      <c r="N7" s="41">
        <v>85.584999999999994</v>
      </c>
      <c r="O7" s="41">
        <v>1.2574000000000001</v>
      </c>
      <c r="P7" s="44" t="s">
        <v>28</v>
      </c>
      <c r="Q7" s="40"/>
      <c r="R7" s="37"/>
      <c r="S7" s="18"/>
      <c r="T7" s="18"/>
      <c r="U7" s="18"/>
      <c r="V7" s="18"/>
      <c r="W7" s="18"/>
      <c r="X7" s="18"/>
    </row>
    <row r="8" spans="1:24" s="28" customFormat="1" ht="14.25" x14ac:dyDescent="0.2">
      <c r="A8" s="43" t="s">
        <v>29</v>
      </c>
      <c r="B8" s="41">
        <v>947.36</v>
      </c>
      <c r="C8" s="41">
        <v>5.0599999999999996</v>
      </c>
      <c r="D8" s="41">
        <v>101.93</v>
      </c>
      <c r="E8" s="41">
        <v>92.644999999999996</v>
      </c>
      <c r="F8" s="41">
        <v>947.33</v>
      </c>
      <c r="G8" s="41">
        <v>440.49</v>
      </c>
      <c r="H8" s="41">
        <v>0.01</v>
      </c>
      <c r="I8" s="41">
        <v>0.26</v>
      </c>
      <c r="J8" s="41">
        <v>0.26</v>
      </c>
      <c r="K8" s="41">
        <v>89.382000000000005</v>
      </c>
      <c r="L8" s="41"/>
      <c r="M8" s="41">
        <v>2.6164999999999998</v>
      </c>
      <c r="N8" s="41">
        <v>11.329000000000001</v>
      </c>
      <c r="O8" s="41">
        <v>2.5972</v>
      </c>
      <c r="P8" s="44" t="s">
        <v>28</v>
      </c>
      <c r="Q8" s="40"/>
      <c r="R8" s="37"/>
      <c r="S8" s="18"/>
      <c r="T8" s="18"/>
      <c r="U8" s="18"/>
      <c r="V8" s="18"/>
      <c r="W8" s="18"/>
      <c r="X8" s="18"/>
    </row>
    <row r="9" spans="1:24" s="28" customFormat="1" x14ac:dyDescent="0.2">
      <c r="A9" s="45" t="s">
        <v>30</v>
      </c>
      <c r="B9" s="46"/>
      <c r="C9" s="46"/>
      <c r="D9" s="46"/>
      <c r="E9" s="46"/>
      <c r="F9" s="47"/>
      <c r="G9" s="47"/>
      <c r="H9" s="48"/>
      <c r="I9" s="48"/>
      <c r="J9" s="48"/>
      <c r="K9" s="48"/>
      <c r="L9" s="49"/>
      <c r="M9" s="48"/>
      <c r="N9" s="48"/>
      <c r="O9" s="48"/>
      <c r="P9" s="48"/>
      <c r="S9" s="18"/>
      <c r="T9" s="18"/>
      <c r="U9" s="18"/>
      <c r="V9" s="18"/>
      <c r="W9" s="18"/>
      <c r="X9" s="18"/>
    </row>
    <row r="10" spans="1:24" s="50" customFormat="1" x14ac:dyDescent="0.2">
      <c r="A10" s="43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>
        <f t="shared" ref="C10:R10" si="0">P10+1</f>
        <v>1</v>
      </c>
      <c r="R10" s="48">
        <f t="shared" si="0"/>
        <v>2</v>
      </c>
      <c r="S10" s="18"/>
      <c r="T10" s="18"/>
      <c r="U10" s="18"/>
      <c r="V10" s="18"/>
      <c r="W10" s="18"/>
      <c r="X10" s="18"/>
    </row>
    <row r="11" spans="1:24" s="28" customFormat="1" x14ac:dyDescent="0.2">
      <c r="A11" s="43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0"/>
      <c r="R11" s="37"/>
      <c r="S11" s="18"/>
      <c r="T11" s="18"/>
      <c r="U11" s="18"/>
      <c r="V11" s="18"/>
      <c r="W11" s="18"/>
      <c r="X11" s="18"/>
    </row>
    <row r="12" spans="1:24" s="28" customFormat="1" x14ac:dyDescent="0.2">
      <c r="A12" s="43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S12" s="18"/>
      <c r="T12" s="18"/>
      <c r="U12" s="18"/>
      <c r="V12" s="18"/>
      <c r="W12" s="18"/>
      <c r="X12" s="18"/>
    </row>
    <row r="13" spans="1:24" s="28" customFormat="1" x14ac:dyDescent="0.2">
      <c r="A13" s="45"/>
      <c r="B13" s="46"/>
      <c r="C13" s="46"/>
      <c r="D13" s="46"/>
      <c r="E13" s="46"/>
      <c r="F13" s="46"/>
      <c r="G13" s="47"/>
      <c r="H13" s="48"/>
      <c r="I13" s="48"/>
      <c r="J13" s="48"/>
      <c r="K13" s="48"/>
      <c r="L13" s="49"/>
      <c r="M13" s="48"/>
      <c r="N13" s="48"/>
      <c r="O13" s="48"/>
      <c r="P13" s="48"/>
      <c r="S13" s="18"/>
      <c r="T13" s="18"/>
      <c r="U13" s="18"/>
      <c r="V13" s="18"/>
      <c r="W13" s="18"/>
      <c r="X13" s="18"/>
    </row>
    <row r="14" spans="1:24" s="28" customFormat="1" x14ac:dyDescent="0.2">
      <c r="A14" s="43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18"/>
      <c r="T14" s="18"/>
      <c r="U14" s="18"/>
      <c r="V14" s="18"/>
      <c r="W14" s="18"/>
      <c r="X14" s="18"/>
    </row>
    <row r="15" spans="1:24" s="28" customFormat="1" x14ac:dyDescent="0.2">
      <c r="A15" s="43"/>
      <c r="B15" s="48"/>
      <c r="C15" s="48"/>
      <c r="D15" s="48"/>
      <c r="E15" s="48"/>
      <c r="F15" s="48"/>
      <c r="G15" s="47"/>
      <c r="H15" s="48"/>
      <c r="I15" s="48"/>
      <c r="J15" s="48"/>
      <c r="K15" s="48"/>
      <c r="L15" s="48"/>
      <c r="M15" s="48"/>
      <c r="N15" s="48"/>
      <c r="O15" s="48"/>
      <c r="P15" s="48"/>
      <c r="S15" s="18"/>
      <c r="T15" s="18"/>
      <c r="U15" s="18"/>
      <c r="V15" s="18"/>
      <c r="W15" s="18"/>
      <c r="X15" s="18"/>
    </row>
    <row r="16" spans="1:24" s="28" customFormat="1" x14ac:dyDescent="0.2">
      <c r="A16" s="43"/>
      <c r="B16" s="48"/>
      <c r="C16" s="48"/>
      <c r="D16" s="48"/>
      <c r="E16" s="48"/>
      <c r="F16" s="48"/>
      <c r="G16" s="52"/>
      <c r="H16" s="52"/>
      <c r="I16" s="48"/>
      <c r="J16" s="48"/>
      <c r="K16" s="48"/>
      <c r="L16" s="48"/>
      <c r="M16" s="48"/>
      <c r="N16" s="48"/>
      <c r="O16" s="48"/>
      <c r="P16" s="48"/>
      <c r="S16" s="18"/>
      <c r="T16" s="18"/>
      <c r="U16" s="18"/>
      <c r="V16" s="18"/>
      <c r="W16" s="18"/>
      <c r="X16" s="18"/>
    </row>
    <row r="17" spans="1:24" s="28" customFormat="1" x14ac:dyDescent="0.2">
      <c r="A17" s="43"/>
      <c r="B17" s="48"/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9"/>
      <c r="P17" s="53"/>
      <c r="S17" s="18"/>
      <c r="T17" s="18"/>
      <c r="U17" s="18"/>
      <c r="V17" s="18"/>
      <c r="W17" s="18"/>
      <c r="X17" s="18"/>
    </row>
    <row r="18" spans="1:24" s="28" customFormat="1" ht="13.5" thickBot="1" x14ac:dyDescent="0.25">
      <c r="A18" s="45"/>
      <c r="B18" s="46"/>
      <c r="C18" s="46"/>
      <c r="D18" s="46"/>
      <c r="E18" s="46"/>
      <c r="F18" s="46"/>
      <c r="G18" s="48"/>
      <c r="H18" s="48"/>
      <c r="I18" s="48"/>
      <c r="J18" s="48"/>
      <c r="K18" s="48"/>
      <c r="L18" s="48"/>
      <c r="M18" s="48"/>
      <c r="N18" s="48"/>
      <c r="O18" s="49"/>
      <c r="P18" s="53"/>
      <c r="S18" s="18"/>
      <c r="T18" s="18"/>
      <c r="U18" s="18"/>
      <c r="V18" s="18"/>
      <c r="W18" s="18"/>
      <c r="X18" s="18"/>
    </row>
    <row r="19" spans="1:24" s="28" customFormat="1" ht="39" thickBot="1" x14ac:dyDescent="0.25">
      <c r="A19" s="49"/>
      <c r="B19" s="54" t="s">
        <v>14</v>
      </c>
      <c r="C19" s="23" t="s">
        <v>15</v>
      </c>
      <c r="D19" s="23" t="s">
        <v>16</v>
      </c>
      <c r="E19" s="23" t="s">
        <v>31</v>
      </c>
      <c r="F19" s="23" t="s">
        <v>17</v>
      </c>
      <c r="G19" s="23" t="s">
        <v>18</v>
      </c>
      <c r="H19" s="23" t="s">
        <v>19</v>
      </c>
      <c r="I19" s="23" t="s">
        <v>20</v>
      </c>
      <c r="J19" s="23" t="s">
        <v>21</v>
      </c>
      <c r="K19" s="23" t="s">
        <v>32</v>
      </c>
      <c r="L19" s="23" t="s">
        <v>33</v>
      </c>
      <c r="M19" s="23" t="s">
        <v>22</v>
      </c>
      <c r="N19" s="23" t="s">
        <v>23</v>
      </c>
      <c r="O19" s="23" t="s">
        <v>22</v>
      </c>
      <c r="P19" s="23" t="s">
        <v>24</v>
      </c>
      <c r="Q19" s="23" t="s">
        <v>25</v>
      </c>
      <c r="R19" s="55" t="s">
        <v>26</v>
      </c>
      <c r="S19" s="56"/>
      <c r="T19" s="18"/>
      <c r="U19" s="18"/>
      <c r="V19" s="18"/>
      <c r="W19" s="18"/>
      <c r="X19" s="18"/>
    </row>
    <row r="20" spans="1:24" s="28" customFormat="1" x14ac:dyDescent="0.2">
      <c r="A20" s="49"/>
      <c r="B20" s="78">
        <v>940</v>
      </c>
      <c r="C20" s="78">
        <v>1.5</v>
      </c>
      <c r="D20" s="78">
        <v>100.24</v>
      </c>
      <c r="E20" s="78">
        <v>90.09</v>
      </c>
      <c r="F20" s="78">
        <v>90.96</v>
      </c>
      <c r="G20" s="78">
        <v>940</v>
      </c>
      <c r="H20" s="78">
        <v>-433.16</v>
      </c>
      <c r="I20" s="78">
        <v>0</v>
      </c>
      <c r="J20" s="78">
        <v>0.13</v>
      </c>
      <c r="K20" s="78">
        <v>6737875.3899999997</v>
      </c>
      <c r="L20" s="78">
        <v>553753.06999999995</v>
      </c>
      <c r="M20" s="78">
        <v>0.13</v>
      </c>
      <c r="N20" s="78">
        <v>90.96</v>
      </c>
      <c r="O20" s="78"/>
      <c r="P20" s="78">
        <v>1.5</v>
      </c>
      <c r="Q20" s="78">
        <v>90.96</v>
      </c>
      <c r="R20" s="78">
        <v>1.5</v>
      </c>
      <c r="S20" s="79"/>
      <c r="T20" s="18"/>
      <c r="U20" s="18"/>
      <c r="V20" s="18"/>
      <c r="W20" s="18"/>
      <c r="X20" s="18"/>
    </row>
    <row r="21" spans="1:24" s="28" customFormat="1" x14ac:dyDescent="0.2">
      <c r="A21" s="49"/>
      <c r="B21" s="78">
        <v>950</v>
      </c>
      <c r="C21" s="78">
        <v>3</v>
      </c>
      <c r="D21" s="78">
        <v>100.24</v>
      </c>
      <c r="E21" s="78">
        <v>90.09</v>
      </c>
      <c r="F21" s="78">
        <v>90.96</v>
      </c>
      <c r="G21" s="78">
        <v>949.99</v>
      </c>
      <c r="H21" s="78">
        <v>-443.15</v>
      </c>
      <c r="I21" s="78">
        <v>-0.01</v>
      </c>
      <c r="J21" s="78">
        <v>0.52</v>
      </c>
      <c r="K21" s="78">
        <v>6737875.3899999997</v>
      </c>
      <c r="L21" s="78">
        <v>553753.46</v>
      </c>
      <c r="M21" s="78">
        <v>0.52</v>
      </c>
      <c r="N21" s="78">
        <v>90.96</v>
      </c>
      <c r="O21" s="78"/>
      <c r="P21" s="78">
        <v>1.5</v>
      </c>
      <c r="Q21" s="78">
        <v>0</v>
      </c>
      <c r="R21" s="78">
        <v>1.5</v>
      </c>
      <c r="S21" s="79"/>
      <c r="T21" s="18"/>
      <c r="U21" s="18"/>
      <c r="V21" s="18"/>
      <c r="W21" s="18"/>
      <c r="X21" s="18"/>
    </row>
    <row r="22" spans="1:24" s="28" customFormat="1" x14ac:dyDescent="0.2">
      <c r="A22" s="49"/>
      <c r="B22" s="59"/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1"/>
      <c r="O22" s="49"/>
      <c r="P22" s="53"/>
      <c r="T22" s="18"/>
      <c r="U22" s="18"/>
      <c r="V22" s="18"/>
      <c r="W22" s="18"/>
      <c r="X22" s="18"/>
    </row>
    <row r="23" spans="1:24" s="28" customFormat="1" x14ac:dyDescent="0.2">
      <c r="A23" s="49" t="s">
        <v>34</v>
      </c>
      <c r="B23" s="59">
        <f>VLOOKUP("Последний замер",A4:P12,2)</f>
        <v>947.36</v>
      </c>
      <c r="C23" s="60">
        <f t="shared" ref="C23:R23" si="1">(C21-C20)/($B21-$B20)*($B23-$B20)+C20</f>
        <v>2.6040000000000019</v>
      </c>
      <c r="D23" s="60">
        <f t="shared" si="1"/>
        <v>100.24</v>
      </c>
      <c r="E23" s="60">
        <f t="shared" si="1"/>
        <v>90.09</v>
      </c>
      <c r="F23" s="60">
        <f t="shared" si="1"/>
        <v>90.96</v>
      </c>
      <c r="G23" s="60">
        <f t="shared" si="1"/>
        <v>947.35264000000006</v>
      </c>
      <c r="H23" s="60">
        <f t="shared" si="1"/>
        <v>-440.51263999999998</v>
      </c>
      <c r="I23" s="60">
        <f t="shared" si="1"/>
        <v>-7.3600000000000141E-3</v>
      </c>
      <c r="J23" s="60">
        <f t="shared" si="1"/>
        <v>0.41704000000000052</v>
      </c>
      <c r="K23" s="60">
        <f t="shared" si="1"/>
        <v>6737875.3899999997</v>
      </c>
      <c r="L23" s="60">
        <f t="shared" si="1"/>
        <v>553753.35703999992</v>
      </c>
      <c r="M23" s="60">
        <f t="shared" si="1"/>
        <v>0.41704000000000052</v>
      </c>
      <c r="N23" s="60">
        <f t="shared" si="1"/>
        <v>90.96</v>
      </c>
      <c r="O23" s="60">
        <f t="shared" si="1"/>
        <v>0</v>
      </c>
      <c r="P23" s="60">
        <f t="shared" si="1"/>
        <v>1.5</v>
      </c>
      <c r="Q23" s="60">
        <f t="shared" si="1"/>
        <v>24.013439999999875</v>
      </c>
      <c r="R23" s="60">
        <f t="shared" si="1"/>
        <v>1.5</v>
      </c>
      <c r="S23" s="60"/>
      <c r="T23" s="18"/>
      <c r="U23" s="18"/>
      <c r="V23" s="18"/>
      <c r="W23" s="18"/>
      <c r="X23" s="18"/>
    </row>
    <row r="24" spans="1:24" s="28" customFormat="1" x14ac:dyDescent="0.2">
      <c r="A24" s="45"/>
      <c r="B24" s="46"/>
      <c r="C24" s="46"/>
      <c r="D24" s="46"/>
      <c r="E24" s="46"/>
      <c r="F24" s="46"/>
      <c r="G24" s="48"/>
      <c r="H24" s="48"/>
      <c r="I24" s="48"/>
      <c r="J24" s="48"/>
      <c r="K24" s="48"/>
      <c r="L24" s="48"/>
      <c r="M24" s="48"/>
      <c r="N24" s="48"/>
      <c r="O24" s="49"/>
      <c r="P24" s="53"/>
      <c r="T24" s="18"/>
      <c r="U24" s="18"/>
      <c r="V24" s="18"/>
      <c r="W24" s="18"/>
      <c r="X24" s="18"/>
    </row>
    <row r="25" spans="1:24" s="28" customFormat="1" x14ac:dyDescent="0.2">
      <c r="A25" s="49"/>
      <c r="B25" s="59"/>
      <c r="C25" s="60"/>
      <c r="D25" s="60"/>
      <c r="E25" s="60"/>
      <c r="F25" s="60"/>
      <c r="G25" s="60"/>
      <c r="H25" s="60"/>
      <c r="I25" s="60"/>
      <c r="J25" s="60"/>
      <c r="K25" s="60"/>
      <c r="L25" s="60"/>
      <c r="M25" s="60"/>
      <c r="N25" s="60"/>
      <c r="O25" s="60"/>
      <c r="P25" s="60"/>
      <c r="Q25" s="60"/>
      <c r="R25" s="60"/>
      <c r="S25" s="18"/>
      <c r="T25" s="18"/>
      <c r="U25" s="18"/>
      <c r="V25" s="18"/>
      <c r="W25" s="18"/>
      <c r="X25" s="18"/>
    </row>
    <row r="26" spans="1:24" s="28" customFormat="1" x14ac:dyDescent="0.2">
      <c r="A26" s="43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0"/>
      <c r="R26" s="37"/>
      <c r="S26" s="18"/>
      <c r="T26" s="18"/>
      <c r="U26" s="18"/>
      <c r="V26" s="18"/>
      <c r="W26" s="18"/>
      <c r="X26" s="18"/>
    </row>
    <row r="27" spans="1:24" s="28" customFormat="1" x14ac:dyDescent="0.2">
      <c r="A27" s="43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0"/>
      <c r="R27" s="37"/>
      <c r="S27" s="18"/>
      <c r="T27" s="18"/>
      <c r="U27" s="18"/>
      <c r="V27" s="18"/>
      <c r="W27" s="18"/>
      <c r="X27" s="18"/>
    </row>
    <row r="28" spans="1:24" s="28" customFormat="1" x14ac:dyDescent="0.2">
      <c r="A28" s="45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0"/>
      <c r="R28" s="37"/>
      <c r="S28" s="18"/>
      <c r="T28" s="18"/>
      <c r="U28" s="18"/>
      <c r="V28" s="18"/>
      <c r="W28" s="18"/>
      <c r="X28" s="18"/>
    </row>
    <row r="29" spans="1:24" s="28" customFormat="1" x14ac:dyDescent="0.2">
      <c r="A29" s="49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0"/>
      <c r="R29" s="37"/>
      <c r="S29" s="18"/>
      <c r="T29" s="18"/>
      <c r="U29" s="18"/>
      <c r="V29" s="18"/>
      <c r="W29" s="18"/>
      <c r="X29" s="18"/>
    </row>
    <row r="30" spans="1:24" s="28" customFormat="1" x14ac:dyDescent="0.2">
      <c r="A30" s="45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0"/>
      <c r="R30" s="37"/>
      <c r="S30" s="18"/>
      <c r="T30" s="18"/>
      <c r="U30" s="18"/>
      <c r="V30" s="18"/>
      <c r="W30" s="18"/>
      <c r="X30" s="18"/>
    </row>
    <row r="31" spans="1:24" s="28" customFormat="1" x14ac:dyDescent="0.2">
      <c r="A31" s="49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0"/>
      <c r="R31" s="37"/>
      <c r="S31" s="18"/>
      <c r="T31" s="18"/>
      <c r="U31" s="18"/>
      <c r="V31" s="18"/>
      <c r="W31" s="18"/>
      <c r="X31" s="18"/>
    </row>
    <row r="32" spans="1:24" s="28" customFormat="1" x14ac:dyDescent="0.2">
      <c r="A32" s="49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0"/>
      <c r="R32" s="37"/>
      <c r="S32" s="18"/>
      <c r="T32" s="18"/>
      <c r="U32" s="18"/>
      <c r="V32" s="18"/>
      <c r="W32" s="18"/>
      <c r="X32" s="18"/>
    </row>
    <row r="33" spans="1:24" s="28" customFormat="1" x14ac:dyDescent="0.2">
      <c r="A33" s="49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0"/>
      <c r="R33" s="37"/>
      <c r="S33" s="18"/>
      <c r="T33" s="18"/>
      <c r="U33" s="18"/>
      <c r="V33" s="18"/>
      <c r="W33" s="18"/>
      <c r="X33" s="18"/>
    </row>
    <row r="34" spans="1:24" s="28" customFormat="1" x14ac:dyDescent="0.2">
      <c r="A34" s="49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0"/>
      <c r="R34" s="37"/>
      <c r="S34" s="18"/>
      <c r="T34" s="18"/>
      <c r="U34" s="18"/>
      <c r="V34" s="18"/>
      <c r="W34" s="18"/>
      <c r="X34" s="18"/>
    </row>
    <row r="35" spans="1:24" s="28" customFormat="1" x14ac:dyDescent="0.2">
      <c r="A35" s="49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0"/>
      <c r="R35" s="37"/>
      <c r="S35" s="18"/>
      <c r="T35" s="18"/>
      <c r="U35" s="18"/>
      <c r="V35" s="18"/>
      <c r="W35" s="18"/>
      <c r="X35" s="18"/>
    </row>
    <row r="36" spans="1:24" s="28" customFormat="1" x14ac:dyDescent="0.2">
      <c r="A36" s="29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0"/>
      <c r="R36" s="37"/>
      <c r="S36" s="18"/>
      <c r="T36" s="18"/>
      <c r="U36" s="18"/>
      <c r="V36" s="18"/>
      <c r="W36" s="18"/>
      <c r="X36" s="18"/>
    </row>
    <row r="37" spans="1:24" s="28" customFormat="1" x14ac:dyDescent="0.2">
      <c r="A37" s="29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0"/>
      <c r="R37" s="37"/>
      <c r="S37" s="18"/>
      <c r="T37" s="18"/>
      <c r="U37" s="18"/>
      <c r="V37" s="18"/>
      <c r="W37" s="18"/>
      <c r="X37" s="18"/>
    </row>
    <row r="38" spans="1:24" s="28" customFormat="1" x14ac:dyDescent="0.2">
      <c r="A38" s="29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0"/>
      <c r="R38" s="37"/>
      <c r="S38" s="18"/>
      <c r="T38" s="18"/>
      <c r="U38" s="18"/>
      <c r="V38" s="18"/>
      <c r="W38" s="18"/>
      <c r="X38" s="18"/>
    </row>
    <row r="39" spans="1:24" s="28" customFormat="1" x14ac:dyDescent="0.2">
      <c r="A39" s="29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0"/>
      <c r="R39" s="37"/>
      <c r="S39" s="18"/>
      <c r="T39" s="18"/>
      <c r="U39" s="18"/>
      <c r="V39" s="18"/>
      <c r="W39" s="18"/>
      <c r="X39" s="18"/>
    </row>
    <row r="40" spans="1:24" s="28" customFormat="1" x14ac:dyDescent="0.2">
      <c r="A40" s="29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0"/>
      <c r="R40" s="37"/>
      <c r="S40" s="18"/>
      <c r="T40" s="18"/>
      <c r="U40" s="18"/>
      <c r="V40" s="18"/>
      <c r="W40" s="18"/>
      <c r="X40" s="18"/>
    </row>
    <row r="41" spans="1:24" s="28" customFormat="1" x14ac:dyDescent="0.2">
      <c r="A41" s="29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0"/>
      <c r="R41" s="37"/>
      <c r="S41" s="18"/>
      <c r="T41" s="18"/>
      <c r="U41" s="18"/>
      <c r="V41" s="18"/>
      <c r="W41" s="18"/>
      <c r="X41" s="18"/>
    </row>
    <row r="42" spans="1:24" s="28" customFormat="1" x14ac:dyDescent="0.2">
      <c r="A42" s="43"/>
      <c r="B42" s="47"/>
      <c r="C42" s="47"/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0"/>
      <c r="R42" s="37"/>
      <c r="S42" s="18"/>
      <c r="T42" s="18"/>
      <c r="U42" s="18"/>
      <c r="V42" s="18"/>
      <c r="W42" s="18"/>
      <c r="X42" s="18"/>
    </row>
    <row r="43" spans="1:24" s="28" customFormat="1" x14ac:dyDescent="0.2">
      <c r="A43" s="45"/>
      <c r="B43" s="47"/>
      <c r="C43" s="47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0"/>
      <c r="R43" s="37"/>
      <c r="S43" s="18"/>
      <c r="T43" s="18"/>
      <c r="U43" s="18"/>
      <c r="V43" s="18"/>
      <c r="W43" s="18"/>
      <c r="X43" s="18"/>
    </row>
    <row r="44" spans="1:24" s="28" customFormat="1" x14ac:dyDescent="0.2">
      <c r="A44" s="43"/>
      <c r="B44" s="47"/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0"/>
      <c r="R44" s="37"/>
      <c r="S44" s="18"/>
      <c r="T44" s="18"/>
      <c r="U44" s="18"/>
      <c r="V44" s="18"/>
      <c r="W44" s="18"/>
      <c r="X44" s="18"/>
    </row>
    <row r="45" spans="1:24" s="28" customFormat="1" x14ac:dyDescent="0.2">
      <c r="A45" s="45"/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0"/>
      <c r="R45" s="37"/>
      <c r="S45" s="18"/>
      <c r="T45" s="18"/>
      <c r="U45" s="18"/>
      <c r="V45" s="18"/>
      <c r="W45" s="18"/>
      <c r="X45" s="18"/>
    </row>
    <row r="46" spans="1:24" s="28" customFormat="1" x14ac:dyDescent="0.2">
      <c r="A46" s="43"/>
      <c r="B46" s="47"/>
      <c r="C46" s="47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0"/>
      <c r="R46" s="37"/>
      <c r="S46" s="18"/>
      <c r="T46" s="18"/>
      <c r="U46" s="18"/>
      <c r="V46" s="18"/>
      <c r="W46" s="18"/>
      <c r="X46" s="18"/>
    </row>
    <row r="47" spans="1:24" s="28" customFormat="1" x14ac:dyDescent="0.2">
      <c r="A47" s="43"/>
      <c r="B47" s="47"/>
      <c r="C47" s="47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0"/>
      <c r="R47" s="37"/>
      <c r="S47" s="18"/>
      <c r="T47" s="18"/>
      <c r="U47" s="18"/>
      <c r="V47" s="18"/>
      <c r="W47" s="18"/>
      <c r="X47" s="18"/>
    </row>
    <row r="48" spans="1:24" s="28" customFormat="1" ht="12" customHeight="1" x14ac:dyDescent="0.2">
      <c r="A48" s="43"/>
      <c r="B48" s="47"/>
      <c r="C48" s="47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0"/>
      <c r="R48" s="37"/>
      <c r="S48" s="18"/>
      <c r="T48" s="18"/>
      <c r="U48" s="18"/>
      <c r="V48" s="18"/>
      <c r="W48" s="18"/>
      <c r="X48" s="18"/>
    </row>
    <row r="49" spans="1:24" s="28" customFormat="1" x14ac:dyDescent="0.2">
      <c r="A49" s="43"/>
      <c r="B49" s="47"/>
      <c r="C49" s="47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0"/>
      <c r="R49" s="37"/>
      <c r="S49" s="18"/>
      <c r="T49" s="18"/>
      <c r="U49" s="18"/>
      <c r="V49" s="18"/>
      <c r="W49" s="18"/>
      <c r="X49" s="18"/>
    </row>
    <row r="50" spans="1:24" s="28" customFormat="1" x14ac:dyDescent="0.2">
      <c r="A50" s="45"/>
      <c r="B50" s="47"/>
      <c r="C50" s="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0"/>
      <c r="R50" s="37"/>
      <c r="S50" s="18"/>
      <c r="T50" s="18"/>
      <c r="U50" s="18"/>
      <c r="V50" s="18"/>
      <c r="W50" s="18"/>
      <c r="X50" s="18"/>
    </row>
    <row r="51" spans="1:24" s="62" customFormat="1" x14ac:dyDescent="0.2">
      <c r="A51" s="49"/>
      <c r="B51" s="47"/>
      <c r="C51" s="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0"/>
      <c r="R51" s="37"/>
      <c r="S51" s="18"/>
      <c r="T51" s="18"/>
      <c r="U51" s="18"/>
      <c r="V51" s="18"/>
      <c r="W51" s="18"/>
      <c r="X51" s="18"/>
    </row>
    <row r="52" spans="1:24" s="62" customFormat="1" x14ac:dyDescent="0.2">
      <c r="A52" s="45"/>
      <c r="B52" s="47"/>
      <c r="C52" s="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0"/>
      <c r="R52" s="37"/>
      <c r="S52" s="18"/>
      <c r="T52" s="18"/>
      <c r="U52" s="18"/>
      <c r="V52" s="18"/>
      <c r="W52" s="18"/>
      <c r="X52" s="18"/>
    </row>
    <row r="53" spans="1:24" s="62" customFormat="1" x14ac:dyDescent="0.2">
      <c r="A53" s="49"/>
      <c r="B53" s="47"/>
      <c r="C53" s="47"/>
      <c r="D53" s="47"/>
      <c r="E53" s="47"/>
      <c r="F53" s="47"/>
      <c r="G53" s="47"/>
      <c r="H53" s="47"/>
      <c r="I53" s="47"/>
      <c r="J53" s="47"/>
      <c r="K53" s="47"/>
      <c r="L53" s="47"/>
      <c r="M53" s="47"/>
      <c r="N53" s="47"/>
      <c r="O53" s="47"/>
      <c r="P53" s="47"/>
      <c r="Q53" s="40"/>
      <c r="R53" s="37"/>
      <c r="S53" s="18"/>
      <c r="T53" s="18"/>
      <c r="U53" s="18"/>
      <c r="V53" s="18"/>
      <c r="W53" s="18"/>
      <c r="X53" s="18"/>
    </row>
    <row r="54" spans="1:24" s="63" customFormat="1" x14ac:dyDescent="0.2">
      <c r="A54" s="49"/>
      <c r="B54" s="47"/>
      <c r="C54" s="47"/>
      <c r="D54" s="47"/>
      <c r="E54" s="47"/>
      <c r="F54" s="47"/>
      <c r="G54" s="47"/>
      <c r="H54" s="47"/>
      <c r="I54" s="47"/>
      <c r="J54" s="47"/>
      <c r="K54" s="47"/>
      <c r="L54" s="47"/>
      <c r="M54" s="47"/>
      <c r="N54" s="47"/>
      <c r="O54" s="47"/>
      <c r="P54" s="47"/>
      <c r="Q54" s="40"/>
      <c r="R54" s="37"/>
      <c r="S54" s="18"/>
      <c r="T54" s="18"/>
      <c r="U54" s="18"/>
      <c r="V54" s="18"/>
      <c r="W54" s="18"/>
      <c r="X54" s="18"/>
    </row>
    <row r="55" spans="1:24" s="63" customFormat="1" x14ac:dyDescent="0.2">
      <c r="A55" s="49"/>
      <c r="B55" s="47"/>
      <c r="C55" s="47"/>
      <c r="D55" s="47"/>
      <c r="E55" s="47"/>
      <c r="F55" s="47"/>
      <c r="G55" s="47"/>
      <c r="H55" s="47"/>
      <c r="I55" s="47"/>
      <c r="J55" s="47"/>
      <c r="K55" s="47"/>
      <c r="L55" s="47"/>
      <c r="M55" s="47"/>
      <c r="N55" s="47"/>
      <c r="O55" s="47"/>
      <c r="P55" s="47"/>
      <c r="Q55" s="40"/>
      <c r="R55" s="37"/>
      <c r="S55" s="18"/>
      <c r="T55" s="18"/>
      <c r="U55" s="18"/>
      <c r="V55" s="18"/>
      <c r="W55" s="18"/>
      <c r="X55" s="18"/>
    </row>
    <row r="56" spans="1:24" s="63" customFormat="1" x14ac:dyDescent="0.2">
      <c r="A56" s="49"/>
      <c r="B56" s="47"/>
      <c r="C56" s="47"/>
      <c r="D56" s="47"/>
      <c r="E56" s="47"/>
      <c r="F56" s="47"/>
      <c r="G56" s="47"/>
      <c r="H56" s="47"/>
      <c r="I56" s="47"/>
      <c r="J56" s="47"/>
      <c r="K56" s="47"/>
      <c r="L56" s="47"/>
      <c r="M56" s="47"/>
      <c r="N56" s="47"/>
      <c r="O56" s="47"/>
      <c r="P56" s="47"/>
      <c r="Q56" s="40"/>
      <c r="R56" s="37"/>
      <c r="S56" s="18"/>
      <c r="T56" s="18"/>
      <c r="U56" s="18"/>
      <c r="V56" s="18"/>
      <c r="W56" s="18"/>
      <c r="X56" s="18"/>
    </row>
    <row r="57" spans="1:24" s="63" customFormat="1" x14ac:dyDescent="0.2">
      <c r="A57" s="49"/>
      <c r="B57" s="47"/>
      <c r="C57" s="47"/>
      <c r="D57" s="47"/>
      <c r="E57" s="47"/>
      <c r="F57" s="47"/>
      <c r="G57" s="47"/>
      <c r="H57" s="47"/>
      <c r="I57" s="47"/>
      <c r="J57" s="47"/>
      <c r="K57" s="47"/>
      <c r="L57" s="47"/>
      <c r="M57" s="47"/>
      <c r="N57" s="47"/>
      <c r="O57" s="47"/>
      <c r="P57" s="47"/>
      <c r="Q57" s="40"/>
      <c r="R57" s="37"/>
      <c r="S57" s="18"/>
      <c r="T57" s="18"/>
      <c r="U57" s="18"/>
      <c r="V57" s="18"/>
      <c r="W57" s="18"/>
      <c r="X57" s="18"/>
    </row>
    <row r="58" spans="1:24" s="64" customFormat="1" x14ac:dyDescent="0.2">
      <c r="A58" s="20"/>
      <c r="B58" s="47"/>
      <c r="C58" s="47"/>
      <c r="D58" s="47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0"/>
      <c r="R58" s="37"/>
      <c r="S58" s="18"/>
      <c r="T58" s="18"/>
      <c r="U58" s="18"/>
      <c r="V58" s="18"/>
      <c r="W58" s="18"/>
      <c r="X58" s="18"/>
    </row>
    <row r="59" spans="1:24" s="64" customFormat="1" x14ac:dyDescent="0.2">
      <c r="A59" s="20"/>
      <c r="B59" s="47"/>
      <c r="C59" s="47"/>
      <c r="D59" s="47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0"/>
      <c r="R59" s="37"/>
      <c r="S59" s="18"/>
      <c r="T59" s="18"/>
      <c r="U59" s="18"/>
      <c r="V59" s="18"/>
      <c r="W59" s="18"/>
      <c r="X59" s="18"/>
    </row>
    <row r="60" spans="1:24" s="64" customFormat="1" x14ac:dyDescent="0.2">
      <c r="A60" s="43"/>
      <c r="B60" s="47"/>
      <c r="C60" s="47"/>
      <c r="D60" s="47"/>
      <c r="E60" s="47"/>
      <c r="F60" s="47"/>
      <c r="G60" s="47"/>
      <c r="H60" s="47"/>
      <c r="I60" s="47"/>
      <c r="J60" s="47"/>
      <c r="K60" s="47"/>
      <c r="L60" s="47"/>
      <c r="M60" s="47"/>
      <c r="N60" s="47"/>
      <c r="O60" s="47"/>
      <c r="P60" s="47"/>
      <c r="Q60" s="40"/>
      <c r="R60" s="37"/>
      <c r="S60" s="18"/>
      <c r="T60" s="18"/>
      <c r="U60" s="18"/>
      <c r="V60" s="18"/>
      <c r="W60" s="18"/>
      <c r="X60" s="18"/>
    </row>
    <row r="61" spans="1:24" s="50" customFormat="1" x14ac:dyDescent="0.2">
      <c r="A61" s="45"/>
      <c r="B61" s="47"/>
      <c r="C61" s="47"/>
      <c r="D61" s="47"/>
      <c r="E61" s="47"/>
      <c r="F61" s="47"/>
      <c r="G61" s="47"/>
      <c r="H61" s="47"/>
      <c r="I61" s="47"/>
      <c r="J61" s="47"/>
      <c r="K61" s="47"/>
      <c r="L61" s="47"/>
      <c r="M61" s="47"/>
      <c r="N61" s="47"/>
      <c r="O61" s="47"/>
      <c r="P61" s="47"/>
      <c r="Q61" s="40"/>
      <c r="R61" s="37"/>
      <c r="S61" s="18"/>
      <c r="T61" s="18"/>
      <c r="U61" s="18"/>
      <c r="V61" s="18"/>
      <c r="W61" s="18"/>
      <c r="X61" s="18"/>
    </row>
    <row r="62" spans="1:24" s="50" customFormat="1" x14ac:dyDescent="0.2">
      <c r="A62" s="43"/>
      <c r="B62" s="47"/>
      <c r="C62" s="47"/>
      <c r="D62" s="47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0"/>
      <c r="R62" s="37"/>
      <c r="S62" s="18"/>
      <c r="T62" s="18"/>
      <c r="U62" s="18"/>
      <c r="V62" s="18"/>
      <c r="W62" s="18"/>
      <c r="X62" s="18"/>
    </row>
    <row r="63" spans="1:24" s="50" customFormat="1" x14ac:dyDescent="0.2">
      <c r="A63" s="43"/>
      <c r="B63" s="47"/>
      <c r="C63" s="47"/>
      <c r="D63" s="47"/>
      <c r="E63" s="47"/>
      <c r="F63" s="47"/>
      <c r="G63" s="47"/>
      <c r="H63" s="47"/>
      <c r="I63" s="47"/>
      <c r="J63" s="47"/>
      <c r="K63" s="47"/>
      <c r="L63" s="47"/>
      <c r="M63" s="47"/>
      <c r="N63" s="47"/>
      <c r="O63" s="47"/>
      <c r="P63" s="47"/>
      <c r="Q63" s="40"/>
      <c r="R63" s="37"/>
      <c r="S63" s="18"/>
      <c r="T63" s="18"/>
      <c r="U63" s="18"/>
      <c r="V63" s="18"/>
      <c r="W63" s="18"/>
      <c r="X63" s="18"/>
    </row>
    <row r="64" spans="1:24" s="50" customFormat="1" x14ac:dyDescent="0.2">
      <c r="A64" s="43"/>
      <c r="B64" s="47"/>
      <c r="C64" s="47"/>
      <c r="D64" s="47"/>
      <c r="E64" s="47"/>
      <c r="F64" s="47"/>
      <c r="G64" s="47"/>
      <c r="H64" s="47"/>
      <c r="I64" s="47"/>
      <c r="J64" s="47"/>
      <c r="K64" s="47"/>
      <c r="L64" s="47"/>
      <c r="M64" s="47"/>
      <c r="N64" s="47"/>
      <c r="O64" s="47"/>
      <c r="P64" s="47"/>
      <c r="Q64" s="40"/>
      <c r="R64" s="37"/>
      <c r="S64" s="18"/>
      <c r="T64" s="18"/>
      <c r="U64" s="18"/>
      <c r="V64" s="18"/>
      <c r="W64" s="18"/>
      <c r="X64" s="18"/>
    </row>
    <row r="65" spans="1:24" s="50" customFormat="1" x14ac:dyDescent="0.2">
      <c r="A65" s="45"/>
      <c r="B65" s="47"/>
      <c r="C65" s="47"/>
      <c r="D65" s="47"/>
      <c r="E65" s="47"/>
      <c r="F65" s="47"/>
      <c r="G65" s="47"/>
      <c r="H65" s="47"/>
      <c r="I65" s="47"/>
      <c r="J65" s="47"/>
      <c r="K65" s="47"/>
      <c r="L65" s="47"/>
      <c r="M65" s="47"/>
      <c r="N65" s="47"/>
      <c r="O65" s="47"/>
      <c r="P65" s="47"/>
      <c r="Q65" s="40"/>
      <c r="R65" s="37"/>
      <c r="S65" s="18"/>
      <c r="T65" s="18"/>
      <c r="U65" s="18"/>
      <c r="V65" s="18"/>
      <c r="W65" s="18"/>
      <c r="X65" s="18"/>
    </row>
    <row r="66" spans="1:24" s="62" customFormat="1" x14ac:dyDescent="0.2">
      <c r="A66" s="43"/>
      <c r="B66" s="47"/>
      <c r="C66" s="47"/>
      <c r="D66" s="47"/>
      <c r="E66" s="47"/>
      <c r="F66" s="47"/>
      <c r="G66" s="47"/>
      <c r="H66" s="47"/>
      <c r="I66" s="47"/>
      <c r="J66" s="47"/>
      <c r="K66" s="47"/>
      <c r="L66" s="47"/>
      <c r="M66" s="47"/>
      <c r="N66" s="47"/>
      <c r="O66" s="47"/>
      <c r="P66" s="47"/>
      <c r="Q66" s="40"/>
      <c r="R66" s="37"/>
      <c r="S66" s="18"/>
      <c r="T66" s="18"/>
      <c r="U66" s="18"/>
      <c r="V66" s="18"/>
      <c r="W66" s="18"/>
      <c r="X66" s="18"/>
    </row>
    <row r="67" spans="1:24" s="62" customFormat="1" x14ac:dyDescent="0.2">
      <c r="A67" s="43"/>
      <c r="B67" s="47"/>
      <c r="C67" s="47"/>
      <c r="D67" s="47"/>
      <c r="E67" s="47"/>
      <c r="F67" s="47"/>
      <c r="G67" s="47"/>
      <c r="H67" s="47"/>
      <c r="I67" s="47"/>
      <c r="J67" s="47"/>
      <c r="K67" s="47"/>
      <c r="L67" s="47"/>
      <c r="M67" s="47"/>
      <c r="N67" s="47"/>
      <c r="O67" s="47"/>
      <c r="P67" s="47"/>
      <c r="Q67" s="40"/>
      <c r="R67" s="37"/>
      <c r="S67" s="18"/>
      <c r="T67" s="18"/>
      <c r="U67" s="18"/>
      <c r="V67" s="18"/>
      <c r="W67" s="18"/>
      <c r="X67" s="18"/>
    </row>
    <row r="68" spans="1:24" s="62" customFormat="1" x14ac:dyDescent="0.2">
      <c r="A68" s="43"/>
      <c r="B68" s="47"/>
      <c r="C68" s="47"/>
      <c r="D68" s="47"/>
      <c r="E68" s="47"/>
      <c r="F68" s="47"/>
      <c r="G68" s="47"/>
      <c r="H68" s="47"/>
      <c r="I68" s="47"/>
      <c r="J68" s="47"/>
      <c r="K68" s="47"/>
      <c r="L68" s="47"/>
      <c r="M68" s="47"/>
      <c r="N68" s="47"/>
      <c r="O68" s="47"/>
      <c r="P68" s="47"/>
      <c r="Q68" s="40"/>
      <c r="R68" s="37"/>
      <c r="S68" s="18"/>
      <c r="T68" s="18"/>
      <c r="U68" s="18"/>
      <c r="V68" s="18"/>
      <c r="W68" s="18"/>
      <c r="X68" s="18"/>
    </row>
    <row r="69" spans="1:24" s="62" customFormat="1" x14ac:dyDescent="0.2">
      <c r="A69" s="43"/>
      <c r="B69" s="47"/>
      <c r="C69" s="47"/>
      <c r="D69" s="47"/>
      <c r="E69" s="47"/>
      <c r="F69" s="47"/>
      <c r="G69" s="47"/>
      <c r="H69" s="47"/>
      <c r="I69" s="47"/>
      <c r="J69" s="47"/>
      <c r="K69" s="47"/>
      <c r="L69" s="47"/>
      <c r="M69" s="47"/>
      <c r="N69" s="47"/>
      <c r="O69" s="47"/>
      <c r="P69" s="47"/>
      <c r="Q69" s="40"/>
      <c r="R69" s="37"/>
      <c r="S69" s="18"/>
      <c r="T69" s="18"/>
      <c r="U69" s="18"/>
      <c r="V69" s="18"/>
      <c r="W69" s="18"/>
      <c r="X69" s="18"/>
    </row>
    <row r="70" spans="1:24" s="62" customFormat="1" x14ac:dyDescent="0.2">
      <c r="A70" s="45"/>
      <c r="B70" s="47"/>
      <c r="C70" s="47"/>
      <c r="D70" s="47"/>
      <c r="E70" s="47"/>
      <c r="F70" s="47"/>
      <c r="G70" s="47"/>
      <c r="H70" s="47"/>
      <c r="I70" s="47"/>
      <c r="J70" s="47"/>
      <c r="K70" s="47"/>
      <c r="L70" s="47"/>
      <c r="M70" s="47"/>
      <c r="N70" s="47"/>
      <c r="O70" s="47"/>
      <c r="P70" s="47"/>
      <c r="Q70" s="40"/>
      <c r="R70" s="37"/>
      <c r="S70" s="18"/>
      <c r="T70" s="18"/>
      <c r="U70" s="18"/>
      <c r="V70" s="18"/>
      <c r="W70" s="18"/>
      <c r="X70" s="18"/>
    </row>
    <row r="71" spans="1:24" s="62" customFormat="1" x14ac:dyDescent="0.2">
      <c r="A71" s="49"/>
      <c r="B71" s="47"/>
      <c r="C71" s="47"/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0"/>
      <c r="R71" s="37"/>
      <c r="S71" s="18"/>
      <c r="T71" s="18"/>
      <c r="U71" s="18"/>
      <c r="V71" s="18"/>
      <c r="W71" s="18"/>
      <c r="X71" s="18"/>
    </row>
    <row r="72" spans="1:24" s="62" customFormat="1" x14ac:dyDescent="0.2">
      <c r="A72" s="45"/>
      <c r="B72" s="47"/>
      <c r="C72" s="47"/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0"/>
      <c r="R72" s="37"/>
      <c r="S72" s="18"/>
      <c r="T72" s="18"/>
      <c r="U72" s="18"/>
      <c r="V72" s="18"/>
      <c r="W72" s="18"/>
      <c r="X72" s="18"/>
    </row>
    <row r="73" spans="1:24" s="62" customFormat="1" x14ac:dyDescent="0.2">
      <c r="A73" s="49"/>
      <c r="B73" s="47"/>
      <c r="C73" s="47"/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0"/>
      <c r="R73" s="37"/>
      <c r="S73" s="18"/>
      <c r="T73" s="18"/>
      <c r="U73" s="18"/>
      <c r="V73" s="18"/>
      <c r="W73" s="18"/>
      <c r="X73" s="18"/>
    </row>
    <row r="74" spans="1:24" s="62" customFormat="1" x14ac:dyDescent="0.2">
      <c r="A74" s="49"/>
      <c r="B74" s="47"/>
      <c r="C74" s="47"/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0"/>
      <c r="R74" s="37"/>
      <c r="S74" s="18"/>
      <c r="T74" s="18"/>
      <c r="U74" s="18"/>
      <c r="V74" s="18"/>
      <c r="W74" s="18"/>
      <c r="X74" s="18"/>
    </row>
    <row r="75" spans="1:24" s="62" customFormat="1" x14ac:dyDescent="0.2">
      <c r="A75" s="49"/>
      <c r="B75" s="47"/>
      <c r="C75" s="47"/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0"/>
      <c r="R75" s="37"/>
      <c r="S75" s="18"/>
      <c r="T75" s="18"/>
      <c r="U75" s="18"/>
      <c r="V75" s="18"/>
      <c r="W75" s="18"/>
      <c r="X75" s="18"/>
    </row>
    <row r="76" spans="1:24" s="62" customFormat="1" x14ac:dyDescent="0.2">
      <c r="A76" s="49"/>
      <c r="B76" s="47"/>
      <c r="C76" s="47"/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0"/>
      <c r="R76" s="37"/>
      <c r="S76" s="18"/>
      <c r="T76" s="18"/>
      <c r="U76" s="18"/>
      <c r="V76" s="18"/>
      <c r="W76" s="18"/>
      <c r="X76" s="18"/>
    </row>
    <row r="77" spans="1:24" s="62" customFormat="1" x14ac:dyDescent="0.2">
      <c r="A77" s="49"/>
      <c r="B77" s="47"/>
      <c r="C77" s="47"/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0"/>
      <c r="R77" s="37"/>
      <c r="S77" s="18"/>
      <c r="T77" s="18"/>
      <c r="U77" s="18"/>
      <c r="V77" s="18"/>
      <c r="W77" s="18"/>
      <c r="X77" s="18"/>
    </row>
    <row r="78" spans="1:24" s="62" customFormat="1" x14ac:dyDescent="0.2">
      <c r="A78" s="45"/>
      <c r="B78" s="47"/>
      <c r="C78" s="47"/>
      <c r="D78" s="47"/>
      <c r="E78" s="47"/>
      <c r="F78" s="47"/>
      <c r="G78" s="47"/>
      <c r="H78" s="47"/>
      <c r="I78" s="47"/>
      <c r="J78" s="47"/>
      <c r="K78" s="47"/>
      <c r="L78" s="47"/>
      <c r="M78" s="47"/>
      <c r="N78" s="47"/>
      <c r="O78" s="47"/>
      <c r="P78" s="47"/>
      <c r="Q78" s="40"/>
      <c r="R78" s="37"/>
      <c r="S78" s="18"/>
      <c r="T78" s="18"/>
      <c r="U78" s="18"/>
      <c r="V78" s="18"/>
      <c r="W78" s="18"/>
      <c r="X78" s="18"/>
    </row>
    <row r="79" spans="1:24" s="62" customFormat="1" x14ac:dyDescent="0.2">
      <c r="A79" s="20"/>
      <c r="B79" s="47"/>
      <c r="C79" s="47"/>
      <c r="D79" s="47"/>
      <c r="E79" s="47"/>
      <c r="F79" s="47"/>
      <c r="G79" s="47"/>
      <c r="H79" s="47"/>
      <c r="I79" s="47"/>
      <c r="J79" s="47"/>
      <c r="K79" s="47"/>
      <c r="L79" s="47"/>
      <c r="M79" s="47"/>
      <c r="N79" s="47"/>
      <c r="O79" s="47"/>
      <c r="P79" s="47"/>
      <c r="Q79" s="40"/>
      <c r="R79" s="37"/>
      <c r="S79" s="18"/>
      <c r="T79" s="18"/>
      <c r="U79" s="18"/>
      <c r="V79" s="18"/>
      <c r="W79" s="18"/>
      <c r="X79" s="18"/>
    </row>
    <row r="80" spans="1:24" s="62" customFormat="1" x14ac:dyDescent="0.2">
      <c r="A80" s="20"/>
      <c r="B80" s="47"/>
      <c r="C80" s="47"/>
      <c r="D80" s="47"/>
      <c r="E80" s="47"/>
      <c r="F80" s="47"/>
      <c r="G80" s="47"/>
      <c r="H80" s="47"/>
      <c r="I80" s="47"/>
      <c r="J80" s="47"/>
      <c r="K80" s="47"/>
      <c r="L80" s="47"/>
      <c r="M80" s="47"/>
      <c r="N80" s="47"/>
      <c r="O80" s="47"/>
      <c r="P80" s="47"/>
      <c r="Q80" s="40"/>
      <c r="R80" s="37"/>
      <c r="S80" s="18"/>
      <c r="T80" s="18"/>
      <c r="U80" s="18"/>
      <c r="V80" s="18"/>
      <c r="W80" s="18"/>
      <c r="X80" s="18"/>
    </row>
    <row r="81" spans="1:24" s="62" customFormat="1" x14ac:dyDescent="0.2">
      <c r="A81" s="43"/>
      <c r="B81" s="47"/>
      <c r="C81" s="47"/>
      <c r="D81" s="47"/>
      <c r="E81" s="47"/>
      <c r="F81" s="47"/>
      <c r="G81" s="47"/>
      <c r="H81" s="47"/>
      <c r="I81" s="47"/>
      <c r="J81" s="47"/>
      <c r="K81" s="47"/>
      <c r="L81" s="47"/>
      <c r="M81" s="47"/>
      <c r="N81" s="47"/>
      <c r="O81" s="47"/>
      <c r="P81" s="47"/>
      <c r="Q81" s="40"/>
      <c r="R81" s="37"/>
      <c r="S81" s="18"/>
      <c r="T81" s="18"/>
      <c r="U81" s="18"/>
      <c r="V81" s="18"/>
      <c r="W81" s="18"/>
      <c r="X81" s="18"/>
    </row>
    <row r="82" spans="1:24" s="62" customFormat="1" x14ac:dyDescent="0.2">
      <c r="A82" s="45"/>
      <c r="B82" s="47"/>
      <c r="C82" s="47"/>
      <c r="D82" s="47"/>
      <c r="E82" s="47"/>
      <c r="F82" s="47"/>
      <c r="G82" s="47"/>
      <c r="H82" s="47"/>
      <c r="I82" s="47"/>
      <c r="J82" s="47"/>
      <c r="K82" s="47"/>
      <c r="L82" s="47"/>
      <c r="M82" s="47"/>
      <c r="N82" s="47"/>
      <c r="O82" s="47"/>
      <c r="P82" s="47"/>
      <c r="Q82" s="40"/>
      <c r="R82" s="37"/>
      <c r="S82" s="18"/>
      <c r="T82" s="18"/>
      <c r="U82" s="18"/>
      <c r="V82" s="18"/>
      <c r="W82" s="18"/>
      <c r="X82" s="18"/>
    </row>
    <row r="83" spans="1:24" s="62" customFormat="1" x14ac:dyDescent="0.2">
      <c r="A83" s="43"/>
      <c r="B83" s="47"/>
      <c r="C83" s="47"/>
      <c r="D83" s="47"/>
      <c r="E83" s="47"/>
      <c r="F83" s="47"/>
      <c r="G83" s="47"/>
      <c r="H83" s="47"/>
      <c r="I83" s="47"/>
      <c r="J83" s="47"/>
      <c r="K83" s="47"/>
      <c r="L83" s="47"/>
      <c r="M83" s="47"/>
      <c r="N83" s="47"/>
      <c r="O83" s="47"/>
      <c r="P83" s="47"/>
      <c r="Q83" s="40"/>
      <c r="R83" s="37"/>
      <c r="S83" s="18"/>
      <c r="T83" s="18"/>
      <c r="U83" s="18"/>
      <c r="V83" s="18"/>
      <c r="W83" s="18"/>
      <c r="X83" s="18"/>
    </row>
    <row r="84" spans="1:24" s="49" customFormat="1" x14ac:dyDescent="0.2">
      <c r="A84" s="43"/>
      <c r="B84" s="47"/>
      <c r="C84" s="47"/>
      <c r="D84" s="47"/>
      <c r="E84" s="47"/>
      <c r="F84" s="47"/>
      <c r="G84" s="47"/>
      <c r="H84" s="47"/>
      <c r="I84" s="47"/>
      <c r="J84" s="47"/>
      <c r="K84" s="47"/>
      <c r="L84" s="47"/>
      <c r="M84" s="47"/>
      <c r="N84" s="47"/>
      <c r="O84" s="47"/>
      <c r="P84" s="47"/>
      <c r="Q84" s="40"/>
      <c r="R84" s="37"/>
      <c r="S84" s="18"/>
      <c r="T84" s="18"/>
      <c r="U84" s="18"/>
      <c r="V84" s="18"/>
      <c r="W84" s="18"/>
      <c r="X84" s="18"/>
    </row>
    <row r="85" spans="1:24" s="49" customFormat="1" x14ac:dyDescent="0.2">
      <c r="A85" s="43"/>
      <c r="B85" s="47"/>
      <c r="C85" s="47"/>
      <c r="D85" s="47"/>
      <c r="E85" s="47"/>
      <c r="F85" s="47"/>
      <c r="G85" s="47"/>
      <c r="H85" s="47"/>
      <c r="I85" s="47"/>
      <c r="J85" s="47"/>
      <c r="K85" s="47"/>
      <c r="L85" s="47"/>
      <c r="M85" s="47"/>
      <c r="N85" s="47"/>
      <c r="O85" s="47"/>
      <c r="P85" s="47"/>
      <c r="Q85" s="40"/>
      <c r="R85" s="37"/>
      <c r="S85" s="18"/>
      <c r="T85" s="18"/>
      <c r="U85" s="18"/>
      <c r="V85" s="18"/>
      <c r="W85" s="18"/>
      <c r="X85" s="18"/>
    </row>
    <row r="86" spans="1:24" s="49" customFormat="1" x14ac:dyDescent="0.2">
      <c r="A86" s="43"/>
      <c r="B86" s="47"/>
      <c r="C86" s="47"/>
      <c r="D86" s="47"/>
      <c r="E86" s="47"/>
      <c r="F86" s="47"/>
      <c r="G86" s="47"/>
      <c r="H86" s="47"/>
      <c r="I86" s="47"/>
      <c r="J86" s="47"/>
      <c r="K86" s="47"/>
      <c r="L86" s="47"/>
      <c r="M86" s="47"/>
      <c r="N86" s="47"/>
      <c r="O86" s="47"/>
      <c r="P86" s="47"/>
      <c r="Q86" s="40"/>
      <c r="R86" s="37"/>
      <c r="S86" s="18"/>
      <c r="T86" s="18"/>
      <c r="U86" s="18"/>
      <c r="V86" s="18"/>
      <c r="W86" s="18"/>
      <c r="X86" s="18"/>
    </row>
    <row r="87" spans="1:24" s="65" customFormat="1" x14ac:dyDescent="0.2">
      <c r="A87" s="45"/>
      <c r="B87" s="47"/>
      <c r="C87" s="47"/>
      <c r="D87" s="47"/>
      <c r="E87" s="47"/>
      <c r="F87" s="47"/>
      <c r="G87" s="47"/>
      <c r="H87" s="47"/>
      <c r="I87" s="47"/>
      <c r="J87" s="47"/>
      <c r="K87" s="47"/>
      <c r="L87" s="47"/>
      <c r="M87" s="47"/>
      <c r="N87" s="47"/>
      <c r="O87" s="47"/>
      <c r="P87" s="47"/>
      <c r="Q87" s="40"/>
      <c r="R87" s="37"/>
      <c r="S87" s="18"/>
      <c r="T87" s="18"/>
      <c r="U87" s="18"/>
      <c r="V87" s="18"/>
      <c r="W87" s="18"/>
      <c r="X87" s="18"/>
    </row>
    <row r="88" spans="1:24" s="65" customFormat="1" x14ac:dyDescent="0.2">
      <c r="A88" s="49"/>
      <c r="B88" s="47"/>
      <c r="C88" s="47"/>
      <c r="D88" s="47"/>
      <c r="E88" s="47"/>
      <c r="F88" s="47"/>
      <c r="G88" s="47"/>
      <c r="H88" s="47"/>
      <c r="I88" s="47"/>
      <c r="J88" s="47"/>
      <c r="K88" s="47"/>
      <c r="L88" s="47"/>
      <c r="M88" s="47"/>
      <c r="N88" s="47"/>
      <c r="O88" s="47"/>
      <c r="P88" s="47"/>
      <c r="Q88" s="40"/>
      <c r="R88" s="37"/>
      <c r="S88" s="18"/>
      <c r="T88" s="18"/>
      <c r="U88" s="18"/>
      <c r="V88" s="18"/>
      <c r="W88" s="18"/>
      <c r="X88" s="18"/>
    </row>
    <row r="89" spans="1:24" s="66" customFormat="1" x14ac:dyDescent="0.2">
      <c r="A89" s="45"/>
      <c r="B89" s="47"/>
      <c r="C89" s="47"/>
      <c r="D89" s="47"/>
      <c r="E89" s="47"/>
      <c r="F89" s="47"/>
      <c r="G89" s="47"/>
      <c r="H89" s="47"/>
      <c r="I89" s="47"/>
      <c r="J89" s="47"/>
      <c r="K89" s="47"/>
      <c r="L89" s="47"/>
      <c r="M89" s="47"/>
      <c r="N89" s="47"/>
      <c r="O89" s="47"/>
      <c r="P89" s="47"/>
      <c r="Q89" s="40"/>
      <c r="R89" s="37"/>
      <c r="S89" s="18"/>
      <c r="T89" s="18"/>
      <c r="U89" s="18"/>
      <c r="V89" s="18"/>
      <c r="W89" s="18"/>
      <c r="X89" s="18"/>
    </row>
    <row r="90" spans="1:24" s="65" customFormat="1" x14ac:dyDescent="0.2">
      <c r="A90" s="49"/>
      <c r="B90" s="47"/>
      <c r="C90" s="47"/>
      <c r="D90" s="47"/>
      <c r="E90" s="47"/>
      <c r="F90" s="47"/>
      <c r="G90" s="47"/>
      <c r="H90" s="47"/>
      <c r="I90" s="47"/>
      <c r="J90" s="47"/>
      <c r="K90" s="47"/>
      <c r="L90" s="47"/>
      <c r="M90" s="47"/>
      <c r="N90" s="47"/>
      <c r="O90" s="47"/>
      <c r="P90" s="47"/>
      <c r="Q90" s="40"/>
      <c r="R90" s="37"/>
      <c r="S90" s="18"/>
      <c r="T90" s="18"/>
      <c r="U90" s="18"/>
      <c r="V90" s="18"/>
      <c r="W90" s="18"/>
      <c r="X90" s="18"/>
    </row>
    <row r="91" spans="1:24" s="65" customFormat="1" x14ac:dyDescent="0.2">
      <c r="A91" s="49"/>
      <c r="B91" s="47"/>
      <c r="C91" s="47"/>
      <c r="D91" s="47"/>
      <c r="E91" s="47"/>
      <c r="F91" s="47"/>
      <c r="G91" s="47"/>
      <c r="H91" s="47"/>
      <c r="I91" s="47"/>
      <c r="J91" s="47"/>
      <c r="K91" s="47"/>
      <c r="L91" s="47"/>
      <c r="M91" s="47"/>
      <c r="N91" s="47"/>
      <c r="O91" s="47"/>
      <c r="P91" s="47"/>
      <c r="Q91" s="40"/>
      <c r="R91" s="37"/>
      <c r="S91" s="18"/>
      <c r="T91" s="18"/>
      <c r="U91" s="18"/>
      <c r="V91" s="18"/>
      <c r="W91" s="18"/>
      <c r="X91" s="18"/>
    </row>
    <row r="92" spans="1:24" s="65" customFormat="1" x14ac:dyDescent="0.2">
      <c r="A92" s="49"/>
      <c r="B92" s="47"/>
      <c r="C92" s="47"/>
      <c r="D92" s="47"/>
      <c r="E92" s="47"/>
      <c r="F92" s="47"/>
      <c r="G92" s="47"/>
      <c r="H92" s="47"/>
      <c r="I92" s="47"/>
      <c r="J92" s="47"/>
      <c r="K92" s="47"/>
      <c r="L92" s="47"/>
      <c r="M92" s="47"/>
      <c r="N92" s="47"/>
      <c r="O92" s="47"/>
      <c r="P92" s="47"/>
      <c r="Q92" s="40"/>
      <c r="R92" s="37"/>
      <c r="S92" s="18"/>
      <c r="T92" s="18"/>
      <c r="U92" s="18"/>
      <c r="V92" s="18"/>
      <c r="W92" s="18"/>
      <c r="X92" s="18"/>
    </row>
    <row r="93" spans="1:24" s="65" customFormat="1" x14ac:dyDescent="0.2">
      <c r="A93" s="49"/>
      <c r="B93" s="47"/>
      <c r="C93" s="47"/>
      <c r="D93" s="47"/>
      <c r="E93" s="47"/>
      <c r="F93" s="47"/>
      <c r="G93" s="47"/>
      <c r="H93" s="47"/>
      <c r="I93" s="47"/>
      <c r="J93" s="47"/>
      <c r="K93" s="47"/>
      <c r="L93" s="47"/>
      <c r="M93" s="47"/>
      <c r="N93" s="47"/>
      <c r="O93" s="47"/>
      <c r="P93" s="47"/>
      <c r="Q93" s="40"/>
      <c r="R93" s="37"/>
      <c r="S93" s="18"/>
      <c r="T93" s="18"/>
      <c r="U93" s="18"/>
      <c r="V93" s="18"/>
      <c r="W93" s="18"/>
      <c r="X93" s="18"/>
    </row>
    <row r="94" spans="1:24" s="65" customFormat="1" x14ac:dyDescent="0.2">
      <c r="A94" s="49"/>
      <c r="B94" s="47"/>
      <c r="C94" s="47"/>
      <c r="D94" s="47"/>
      <c r="E94" s="47"/>
      <c r="F94" s="47"/>
      <c r="G94" s="47"/>
      <c r="H94" s="47"/>
      <c r="I94" s="47"/>
      <c r="J94" s="47"/>
      <c r="K94" s="47"/>
      <c r="L94" s="47"/>
      <c r="M94" s="47"/>
      <c r="N94" s="47"/>
      <c r="O94" s="47"/>
      <c r="P94" s="47"/>
      <c r="Q94" s="40"/>
      <c r="R94" s="37"/>
      <c r="S94" s="18"/>
      <c r="T94" s="18"/>
      <c r="U94" s="18"/>
      <c r="V94" s="18"/>
      <c r="W94" s="18"/>
      <c r="X94" s="18"/>
    </row>
    <row r="95" spans="1:24" s="65" customFormat="1" x14ac:dyDescent="0.2">
      <c r="A95" s="43"/>
      <c r="B95" s="47"/>
      <c r="C95" s="47"/>
      <c r="D95" s="47"/>
      <c r="E95" s="47"/>
      <c r="F95" s="47"/>
      <c r="G95" s="47"/>
      <c r="H95" s="47"/>
      <c r="I95" s="47"/>
      <c r="J95" s="47"/>
      <c r="K95" s="47"/>
      <c r="L95" s="47"/>
      <c r="M95" s="47"/>
      <c r="N95" s="47"/>
      <c r="O95" s="47"/>
      <c r="P95" s="47"/>
      <c r="Q95" s="40"/>
      <c r="R95" s="37"/>
      <c r="S95" s="18"/>
      <c r="T95" s="18"/>
      <c r="U95" s="18"/>
      <c r="V95" s="18"/>
      <c r="W95" s="18"/>
      <c r="X95" s="18"/>
    </row>
    <row r="96" spans="1:24" s="49" customFormat="1" x14ac:dyDescent="0.2">
      <c r="A96" s="43"/>
      <c r="B96" s="47"/>
      <c r="C96" s="47"/>
      <c r="D96" s="47"/>
      <c r="E96" s="47"/>
      <c r="F96" s="47"/>
      <c r="G96" s="47"/>
      <c r="H96" s="47"/>
      <c r="I96" s="47"/>
      <c r="J96" s="47"/>
      <c r="K96" s="47"/>
      <c r="L96" s="47"/>
      <c r="M96" s="47"/>
      <c r="N96" s="47"/>
      <c r="O96" s="47"/>
      <c r="P96" s="47"/>
      <c r="Q96" s="40"/>
      <c r="R96" s="37"/>
      <c r="S96" s="18"/>
      <c r="T96" s="18"/>
      <c r="U96" s="18"/>
      <c r="V96" s="18"/>
      <c r="W96" s="18"/>
      <c r="X96" s="18"/>
    </row>
    <row r="97" spans="1:26" s="49" customFormat="1" x14ac:dyDescent="0.2">
      <c r="A97" s="43"/>
      <c r="B97" s="47"/>
      <c r="C97" s="47"/>
      <c r="D97" s="47"/>
      <c r="E97" s="47"/>
      <c r="F97" s="47"/>
      <c r="G97" s="47"/>
      <c r="H97" s="47"/>
      <c r="I97" s="47"/>
      <c r="J97" s="47"/>
      <c r="K97" s="47"/>
      <c r="L97" s="47"/>
      <c r="M97" s="47"/>
      <c r="N97" s="47"/>
      <c r="O97" s="47"/>
      <c r="P97" s="47"/>
      <c r="Q97" s="40"/>
      <c r="R97" s="37"/>
      <c r="S97" s="18"/>
      <c r="T97" s="18"/>
      <c r="U97" s="18"/>
      <c r="V97" s="18"/>
      <c r="W97" s="18"/>
      <c r="X97" s="18"/>
    </row>
    <row r="98" spans="1:26" s="67" customFormat="1" x14ac:dyDescent="0.2">
      <c r="A98" s="45"/>
      <c r="B98" s="47"/>
      <c r="C98" s="47"/>
      <c r="D98" s="47"/>
      <c r="E98" s="47"/>
      <c r="F98" s="47"/>
      <c r="G98" s="47"/>
      <c r="H98" s="47"/>
      <c r="I98" s="47"/>
      <c r="J98" s="47"/>
      <c r="K98" s="47"/>
      <c r="L98" s="47"/>
      <c r="M98" s="47"/>
      <c r="N98" s="47"/>
      <c r="O98" s="47"/>
      <c r="P98" s="47"/>
      <c r="Q98" s="40"/>
      <c r="R98" s="37"/>
      <c r="S98" s="18"/>
      <c r="T98" s="18"/>
      <c r="U98" s="18"/>
      <c r="V98" s="18"/>
      <c r="W98" s="18"/>
      <c r="X98" s="18"/>
    </row>
    <row r="99" spans="1:26" s="67" customFormat="1" x14ac:dyDescent="0.2">
      <c r="A99" s="43"/>
      <c r="B99" s="47"/>
      <c r="C99" s="47"/>
      <c r="D99" s="47"/>
      <c r="E99" s="47"/>
      <c r="F99" s="47"/>
      <c r="G99" s="47"/>
      <c r="H99" s="47"/>
      <c r="I99" s="47"/>
      <c r="J99" s="47"/>
      <c r="K99" s="47"/>
      <c r="L99" s="47"/>
      <c r="M99" s="47"/>
      <c r="N99" s="47"/>
      <c r="O99" s="47"/>
      <c r="P99" s="47"/>
      <c r="Q99" s="40"/>
      <c r="R99" s="37"/>
      <c r="S99" s="18"/>
      <c r="T99" s="18"/>
      <c r="U99" s="18"/>
      <c r="V99" s="18"/>
      <c r="W99" s="18"/>
      <c r="X99" s="18"/>
    </row>
    <row r="100" spans="1:26" s="49" customFormat="1" x14ac:dyDescent="0.2">
      <c r="A100" s="43"/>
      <c r="B100" s="47"/>
      <c r="C100" s="47"/>
      <c r="D100" s="47"/>
      <c r="E100" s="47"/>
      <c r="F100" s="47"/>
      <c r="G100" s="47"/>
      <c r="H100" s="47"/>
      <c r="I100" s="47"/>
      <c r="J100" s="47"/>
      <c r="K100" s="47"/>
      <c r="L100" s="47"/>
      <c r="M100" s="47"/>
      <c r="N100" s="47"/>
      <c r="O100" s="47"/>
      <c r="P100" s="47"/>
      <c r="Q100" s="40"/>
      <c r="R100" s="37"/>
      <c r="S100" s="18"/>
      <c r="T100" s="18"/>
      <c r="U100" s="18"/>
      <c r="V100" s="18"/>
      <c r="W100" s="18"/>
      <c r="X100" s="18"/>
    </row>
    <row r="101" spans="1:26" s="67" customFormat="1" x14ac:dyDescent="0.2">
      <c r="A101" s="43"/>
      <c r="B101" s="47"/>
      <c r="C101" s="47"/>
      <c r="D101" s="47"/>
      <c r="E101" s="47"/>
      <c r="F101" s="47"/>
      <c r="G101" s="47"/>
      <c r="H101" s="47"/>
      <c r="I101" s="47"/>
      <c r="J101" s="47"/>
      <c r="K101" s="47"/>
      <c r="L101" s="47"/>
      <c r="M101" s="47"/>
      <c r="N101" s="47"/>
      <c r="O101" s="47"/>
      <c r="P101" s="47"/>
      <c r="Q101" s="40"/>
      <c r="R101" s="37"/>
      <c r="S101" s="18"/>
      <c r="T101" s="18"/>
      <c r="U101" s="18"/>
      <c r="V101" s="18"/>
      <c r="W101" s="18"/>
      <c r="X101" s="18"/>
    </row>
    <row r="102" spans="1:26" s="67" customFormat="1" x14ac:dyDescent="0.2">
      <c r="A102" s="45"/>
      <c r="B102" s="47"/>
      <c r="C102" s="47"/>
      <c r="D102" s="47"/>
      <c r="E102" s="47"/>
      <c r="F102" s="47"/>
      <c r="G102" s="47"/>
      <c r="H102" s="47"/>
      <c r="I102" s="47"/>
      <c r="J102" s="47"/>
      <c r="K102" s="47"/>
      <c r="L102" s="47"/>
      <c r="M102" s="47"/>
      <c r="N102" s="47"/>
      <c r="O102" s="47"/>
      <c r="P102" s="47"/>
      <c r="Q102" s="40"/>
      <c r="R102" s="37"/>
      <c r="S102" s="18"/>
      <c r="T102" s="18"/>
      <c r="U102" s="18"/>
      <c r="V102" s="18"/>
      <c r="W102" s="18"/>
      <c r="X102" s="18"/>
    </row>
    <row r="103" spans="1:26" s="67" customFormat="1" ht="14.25" customHeight="1" x14ac:dyDescent="0.2">
      <c r="A103" s="43"/>
      <c r="B103" s="47"/>
      <c r="C103" s="47"/>
      <c r="D103" s="47"/>
      <c r="E103" s="47"/>
      <c r="F103" s="47"/>
      <c r="G103" s="47"/>
      <c r="H103" s="47"/>
      <c r="I103" s="47"/>
      <c r="J103" s="47"/>
      <c r="K103" s="47"/>
      <c r="L103" s="47"/>
      <c r="M103" s="47"/>
      <c r="N103" s="47"/>
      <c r="O103" s="47"/>
      <c r="P103" s="47"/>
      <c r="Q103" s="40"/>
      <c r="R103" s="37"/>
      <c r="S103" s="18"/>
      <c r="T103" s="18"/>
      <c r="U103" s="18"/>
      <c r="V103" s="18"/>
      <c r="W103" s="18"/>
      <c r="X103" s="18"/>
    </row>
    <row r="104" spans="1:26" s="49" customFormat="1" x14ac:dyDescent="0.2">
      <c r="A104" s="43"/>
      <c r="B104" s="47"/>
      <c r="C104" s="47"/>
      <c r="D104" s="47"/>
      <c r="E104" s="47"/>
      <c r="F104" s="47"/>
      <c r="G104" s="47"/>
      <c r="H104" s="47"/>
      <c r="I104" s="47"/>
      <c r="J104" s="47"/>
      <c r="K104" s="47"/>
      <c r="L104" s="47"/>
      <c r="M104" s="47"/>
      <c r="N104" s="47"/>
      <c r="O104" s="47"/>
      <c r="P104" s="47"/>
      <c r="Q104" s="40"/>
      <c r="R104" s="37"/>
      <c r="S104" s="18"/>
      <c r="T104" s="18"/>
      <c r="U104" s="18"/>
      <c r="V104" s="18"/>
      <c r="W104" s="18"/>
      <c r="X104" s="18"/>
    </row>
    <row r="105" spans="1:26" s="49" customFormat="1" x14ac:dyDescent="0.2">
      <c r="A105" s="43"/>
      <c r="B105" s="47"/>
      <c r="C105" s="47"/>
      <c r="D105" s="47"/>
      <c r="E105" s="47"/>
      <c r="F105" s="47"/>
      <c r="G105" s="47"/>
      <c r="H105" s="47"/>
      <c r="I105" s="47"/>
      <c r="J105" s="47"/>
      <c r="K105" s="47"/>
      <c r="L105" s="47"/>
      <c r="M105" s="47"/>
      <c r="N105" s="47"/>
      <c r="O105" s="47"/>
      <c r="P105" s="47"/>
      <c r="Q105" s="40"/>
      <c r="R105" s="37"/>
      <c r="T105" s="18"/>
      <c r="U105" s="18"/>
      <c r="V105" s="18"/>
      <c r="W105" s="18"/>
      <c r="X105" s="18"/>
      <c r="Y105" s="53"/>
      <c r="Z105" s="53"/>
    </row>
    <row r="106" spans="1:26" s="49" customFormat="1" x14ac:dyDescent="0.2">
      <c r="A106" s="43"/>
      <c r="B106" s="47"/>
      <c r="C106" s="47"/>
      <c r="D106" s="47"/>
      <c r="E106" s="47"/>
      <c r="F106" s="47"/>
      <c r="G106" s="47"/>
      <c r="H106" s="47"/>
      <c r="I106" s="47"/>
      <c r="J106" s="47"/>
      <c r="K106" s="47"/>
      <c r="L106" s="47"/>
      <c r="M106" s="47"/>
      <c r="N106" s="47"/>
      <c r="O106" s="47"/>
      <c r="P106" s="47"/>
      <c r="Q106" s="40"/>
      <c r="R106" s="37"/>
      <c r="S106" s="48"/>
      <c r="T106" s="18"/>
      <c r="U106" s="18"/>
      <c r="V106" s="18"/>
      <c r="W106" s="18"/>
      <c r="X106" s="18"/>
      <c r="Y106" s="53"/>
      <c r="Z106" s="53"/>
    </row>
    <row r="107" spans="1:26" s="49" customFormat="1" x14ac:dyDescent="0.2">
      <c r="A107" s="45"/>
      <c r="B107" s="47"/>
      <c r="C107" s="47"/>
      <c r="D107" s="47"/>
      <c r="E107" s="47"/>
      <c r="F107" s="47"/>
      <c r="G107" s="47"/>
      <c r="H107" s="47"/>
      <c r="I107" s="47"/>
      <c r="J107" s="47"/>
      <c r="K107" s="47"/>
      <c r="L107" s="47"/>
      <c r="M107" s="47"/>
      <c r="N107" s="47"/>
      <c r="O107" s="47"/>
      <c r="P107" s="47"/>
      <c r="Q107" s="28"/>
      <c r="R107" s="28"/>
      <c r="S107" s="48"/>
      <c r="T107" s="18"/>
      <c r="U107" s="48"/>
      <c r="V107" s="48"/>
      <c r="W107" s="48"/>
      <c r="X107" s="48"/>
      <c r="Y107" s="53"/>
      <c r="Z107" s="53"/>
    </row>
    <row r="108" spans="1:26" s="49" customFormat="1" x14ac:dyDescent="0.2">
      <c r="A108" s="43"/>
      <c r="B108" s="47"/>
      <c r="C108" s="47"/>
      <c r="D108" s="47"/>
      <c r="E108" s="47"/>
      <c r="F108" s="47"/>
      <c r="G108" s="47"/>
      <c r="H108" s="47"/>
      <c r="I108" s="47"/>
      <c r="J108" s="47"/>
      <c r="K108" s="47"/>
      <c r="L108" s="47"/>
      <c r="M108" s="47"/>
      <c r="N108" s="47"/>
      <c r="O108" s="47"/>
      <c r="P108" s="47"/>
      <c r="Q108" s="48"/>
      <c r="R108" s="48"/>
      <c r="S108" s="48"/>
      <c r="T108" s="48"/>
      <c r="Y108" s="53"/>
      <c r="Z108" s="53"/>
    </row>
    <row r="109" spans="1:26" s="49" customFormat="1" x14ac:dyDescent="0.2">
      <c r="A109" s="43"/>
      <c r="B109" s="47"/>
      <c r="C109" s="47"/>
      <c r="D109" s="47"/>
      <c r="E109" s="47"/>
      <c r="F109" s="47"/>
      <c r="G109" s="47"/>
      <c r="H109" s="47"/>
      <c r="I109" s="47"/>
      <c r="J109" s="47"/>
      <c r="K109" s="47"/>
      <c r="L109" s="47"/>
      <c r="M109" s="47"/>
      <c r="N109" s="47"/>
      <c r="O109" s="47"/>
      <c r="P109" s="47"/>
      <c r="Q109" s="28"/>
      <c r="R109" s="28"/>
      <c r="S109" s="28"/>
      <c r="T109" s="62"/>
      <c r="Y109" s="53"/>
      <c r="Z109" s="53"/>
    </row>
    <row r="110" spans="1:26" s="49" customFormat="1" x14ac:dyDescent="0.2">
      <c r="A110" s="43"/>
      <c r="B110" s="47"/>
      <c r="C110" s="47"/>
      <c r="D110" s="47"/>
      <c r="E110" s="47"/>
      <c r="F110" s="47"/>
      <c r="G110" s="47"/>
      <c r="H110" s="47"/>
      <c r="I110" s="47"/>
      <c r="J110" s="47"/>
      <c r="K110" s="47"/>
      <c r="L110" s="47"/>
      <c r="M110" s="47"/>
      <c r="N110" s="47"/>
      <c r="O110" s="47"/>
      <c r="P110" s="47"/>
      <c r="Q110" s="28"/>
      <c r="R110" s="28"/>
      <c r="S110" s="28"/>
      <c r="T110" s="62"/>
      <c r="Y110" s="53"/>
      <c r="Z110" s="53"/>
    </row>
    <row r="111" spans="1:26" s="67" customFormat="1" x14ac:dyDescent="0.2">
      <c r="A111" s="43"/>
      <c r="B111" s="47"/>
      <c r="C111" s="47"/>
      <c r="D111" s="47"/>
      <c r="E111" s="47"/>
      <c r="F111" s="47"/>
      <c r="G111" s="47"/>
      <c r="H111" s="47"/>
      <c r="I111" s="47"/>
      <c r="J111" s="47"/>
      <c r="K111" s="47"/>
      <c r="L111" s="47"/>
      <c r="M111" s="47"/>
      <c r="N111" s="47"/>
      <c r="O111" s="47"/>
      <c r="P111" s="47"/>
      <c r="Q111" s="28"/>
      <c r="R111" s="28"/>
      <c r="S111" s="28"/>
      <c r="T111" s="49"/>
      <c r="U111" s="49"/>
      <c r="V111" s="49"/>
      <c r="W111" s="49"/>
      <c r="X111" s="49"/>
      <c r="Y111" s="53"/>
      <c r="Z111" s="53"/>
    </row>
    <row r="112" spans="1:26" s="67" customFormat="1" x14ac:dyDescent="0.2">
      <c r="A112" s="43"/>
      <c r="B112" s="51"/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28"/>
      <c r="R112" s="28"/>
      <c r="S112" s="28"/>
      <c r="T112" s="49"/>
      <c r="Y112" s="53"/>
      <c r="Z112" s="53"/>
    </row>
    <row r="113" spans="1:26" s="67" customFormat="1" ht="13.5" thickBot="1" x14ac:dyDescent="0.25">
      <c r="A113" s="43"/>
      <c r="B113" s="47"/>
      <c r="C113" s="47"/>
      <c r="D113" s="47"/>
      <c r="E113" s="47"/>
      <c r="F113" s="47"/>
      <c r="G113" s="47"/>
      <c r="H113" s="47"/>
      <c r="I113" s="47"/>
      <c r="J113" s="47"/>
      <c r="K113" s="47"/>
      <c r="L113" s="47"/>
      <c r="M113" s="47"/>
      <c r="N113" s="47"/>
      <c r="O113" s="47"/>
      <c r="P113" s="47"/>
      <c r="Q113" s="28"/>
      <c r="R113" s="28"/>
      <c r="S113" s="28"/>
      <c r="Y113" s="53"/>
      <c r="Z113" s="53"/>
    </row>
    <row r="114" spans="1:26" s="67" customFormat="1" ht="13.5" thickBot="1" x14ac:dyDescent="0.25">
      <c r="A114" s="43"/>
      <c r="B114" s="47"/>
      <c r="C114" s="47"/>
      <c r="D114" s="47"/>
      <c r="E114" s="47"/>
      <c r="F114" s="47"/>
      <c r="G114" s="47"/>
      <c r="H114" s="47"/>
      <c r="I114" s="47"/>
      <c r="J114" s="47"/>
      <c r="K114" s="47"/>
      <c r="L114" s="47"/>
      <c r="M114" s="47"/>
      <c r="N114" s="47"/>
      <c r="O114" s="47"/>
      <c r="P114" s="47"/>
      <c r="Q114" s="28"/>
      <c r="R114" s="28"/>
      <c r="S114" s="56"/>
      <c r="Y114" s="53"/>
      <c r="Z114" s="53"/>
    </row>
    <row r="115" spans="1:26" s="67" customFormat="1" ht="13.5" thickBot="1" x14ac:dyDescent="0.25">
      <c r="A115" s="45"/>
      <c r="B115" s="47"/>
      <c r="C115" s="47"/>
      <c r="D115" s="47"/>
      <c r="E115" s="47"/>
      <c r="F115" s="47"/>
      <c r="G115" s="47"/>
      <c r="H115" s="47"/>
      <c r="I115" s="47"/>
      <c r="J115" s="47"/>
      <c r="K115" s="47"/>
      <c r="L115" s="47"/>
      <c r="M115" s="47"/>
      <c r="N115" s="47"/>
      <c r="O115" s="47"/>
      <c r="P115" s="47"/>
      <c r="Q115" s="28"/>
      <c r="R115" s="28"/>
      <c r="S115" s="58"/>
      <c r="Y115" s="53"/>
      <c r="Z115" s="53"/>
    </row>
    <row r="116" spans="1:26" s="67" customFormat="1" ht="13.5" thickBot="1" x14ac:dyDescent="0.25">
      <c r="A116" s="43"/>
      <c r="B116" s="47"/>
      <c r="C116" s="47"/>
      <c r="D116" s="47"/>
      <c r="E116" s="47"/>
      <c r="F116" s="47"/>
      <c r="G116" s="47"/>
      <c r="H116" s="47"/>
      <c r="I116" s="47"/>
      <c r="J116" s="47"/>
      <c r="K116" s="47"/>
      <c r="L116" s="47"/>
      <c r="M116" s="47"/>
      <c r="N116" s="47"/>
      <c r="O116" s="47"/>
      <c r="P116" s="47"/>
      <c r="Q116" s="48"/>
      <c r="R116" s="48"/>
      <c r="S116" s="56"/>
      <c r="Y116" s="53"/>
      <c r="Z116" s="53"/>
    </row>
    <row r="117" spans="1:26" s="67" customFormat="1" x14ac:dyDescent="0.2">
      <c r="A117" s="43"/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28"/>
      <c r="R117" s="28"/>
      <c r="S117" s="58"/>
      <c r="T117" s="50"/>
      <c r="Y117" s="53"/>
      <c r="Z117" s="53"/>
    </row>
    <row r="118" spans="1:26" s="67" customFormat="1" x14ac:dyDescent="0.2">
      <c r="A118" s="43"/>
      <c r="B118" s="47"/>
      <c r="C118" s="47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28"/>
      <c r="R118" s="28"/>
      <c r="S118" s="58"/>
      <c r="T118" s="62"/>
      <c r="Y118" s="53"/>
      <c r="Z118" s="53"/>
    </row>
    <row r="119" spans="1:26" s="67" customFormat="1" x14ac:dyDescent="0.2">
      <c r="A119" s="43"/>
      <c r="B119" s="47"/>
      <c r="C119" s="47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28"/>
      <c r="R119" s="28"/>
      <c r="S119" s="28"/>
      <c r="T119" s="62"/>
      <c r="Y119" s="53"/>
      <c r="Z119" s="53"/>
    </row>
    <row r="120" spans="1:26" s="67" customFormat="1" ht="13.5" thickBot="1" x14ac:dyDescent="0.25">
      <c r="A120" s="45"/>
      <c r="B120" s="47"/>
      <c r="C120" s="47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28"/>
      <c r="R120" s="28"/>
      <c r="S120" s="60"/>
      <c r="T120" s="62"/>
    </row>
    <row r="121" spans="1:26" s="49" customFormat="1" ht="13.5" thickBot="1" x14ac:dyDescent="0.25">
      <c r="A121" s="43"/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23"/>
      <c r="R121" s="55"/>
      <c r="S121" s="56"/>
      <c r="T121" s="62"/>
    </row>
    <row r="122" spans="1:26" s="49" customFormat="1" ht="13.5" thickBot="1" x14ac:dyDescent="0.25">
      <c r="A122" s="45"/>
      <c r="B122" s="47"/>
      <c r="C122" s="47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28"/>
      <c r="R122" s="28"/>
      <c r="S122" s="58"/>
      <c r="T122" s="62"/>
    </row>
    <row r="123" spans="1:26" s="49" customFormat="1" ht="13.5" thickBot="1" x14ac:dyDescent="0.25">
      <c r="A123" s="43"/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48"/>
      <c r="R123" s="48"/>
      <c r="S123" s="56"/>
      <c r="T123" s="62"/>
    </row>
    <row r="124" spans="1:26" s="49" customFormat="1" x14ac:dyDescent="0.2">
      <c r="A124" s="43"/>
      <c r="B124" s="47"/>
      <c r="C124" s="47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28"/>
      <c r="R124" s="28"/>
      <c r="S124" s="58"/>
      <c r="T124" s="62"/>
    </row>
    <row r="125" spans="1:26" s="49" customFormat="1" x14ac:dyDescent="0.2">
      <c r="A125" s="45"/>
      <c r="B125" s="47"/>
      <c r="C125" s="47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28"/>
      <c r="R125" s="28"/>
      <c r="S125" s="58"/>
      <c r="T125" s="62"/>
    </row>
    <row r="126" spans="1:26" x14ac:dyDescent="0.2">
      <c r="A126" s="43"/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48"/>
      <c r="R126" s="48"/>
      <c r="S126" s="28"/>
      <c r="T126" s="62"/>
    </row>
    <row r="127" spans="1:26" x14ac:dyDescent="0.2">
      <c r="A127" s="43"/>
      <c r="B127" s="47"/>
      <c r="C127" s="47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28"/>
      <c r="R127" s="28"/>
      <c r="S127" s="60"/>
      <c r="T127" s="49"/>
    </row>
    <row r="128" spans="1:26" x14ac:dyDescent="0.2">
      <c r="A128" s="43"/>
      <c r="B128" s="47"/>
      <c r="C128" s="47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28"/>
      <c r="R128" s="28"/>
      <c r="S128" s="49"/>
      <c r="T128" s="18"/>
    </row>
    <row r="129" spans="1:20" x14ac:dyDescent="0.2">
      <c r="A129" s="43"/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28"/>
      <c r="R129" s="28"/>
      <c r="S129" s="48"/>
      <c r="T129" s="18"/>
    </row>
    <row r="130" spans="1:20" x14ac:dyDescent="0.2">
      <c r="A130" s="45"/>
      <c r="B130" s="46"/>
      <c r="C130" s="46"/>
      <c r="D130" s="46"/>
      <c r="E130" s="46"/>
      <c r="F130" s="46"/>
      <c r="G130" s="47"/>
      <c r="H130" s="48"/>
      <c r="I130" s="48"/>
      <c r="J130" s="48"/>
      <c r="K130" s="48"/>
      <c r="L130" s="49"/>
      <c r="M130" s="48"/>
      <c r="N130" s="48"/>
      <c r="O130" s="48"/>
      <c r="P130" s="48"/>
      <c r="Q130" s="28"/>
      <c r="R130" s="28"/>
      <c r="S130" s="48"/>
      <c r="T130" s="48"/>
    </row>
    <row r="131" spans="1:20" x14ac:dyDescent="0.2">
      <c r="A131" s="43"/>
      <c r="B131" s="48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8"/>
      <c r="P131" s="48"/>
      <c r="Q131" s="48"/>
      <c r="R131" s="48"/>
      <c r="S131" s="28"/>
      <c r="T131" s="62"/>
    </row>
    <row r="132" spans="1:20" x14ac:dyDescent="0.2">
      <c r="A132" s="43"/>
      <c r="B132" s="48"/>
      <c r="C132" s="48"/>
      <c r="D132" s="48"/>
      <c r="E132" s="48"/>
      <c r="F132" s="48"/>
      <c r="G132" s="47"/>
      <c r="H132" s="48"/>
      <c r="I132" s="48"/>
      <c r="J132" s="48"/>
      <c r="K132" s="48"/>
      <c r="L132" s="48"/>
      <c r="M132" s="48"/>
      <c r="N132" s="48"/>
      <c r="O132" s="48"/>
      <c r="P132" s="48"/>
      <c r="Q132" s="28"/>
      <c r="R132" s="28"/>
      <c r="S132" s="28"/>
      <c r="T132" s="62"/>
    </row>
    <row r="133" spans="1:20" x14ac:dyDescent="0.2">
      <c r="A133" s="43"/>
      <c r="B133" s="48"/>
      <c r="C133" s="48"/>
      <c r="D133" s="48"/>
      <c r="E133" s="48"/>
      <c r="F133" s="48"/>
      <c r="G133" s="52"/>
      <c r="H133" s="52"/>
      <c r="I133" s="48"/>
      <c r="J133" s="48"/>
      <c r="K133" s="48"/>
      <c r="L133" s="48"/>
      <c r="M133" s="48"/>
      <c r="N133" s="48"/>
      <c r="O133" s="48"/>
      <c r="P133" s="48"/>
      <c r="Q133" s="28"/>
      <c r="R133" s="28"/>
      <c r="S133" s="28"/>
      <c r="T133" s="49"/>
    </row>
    <row r="134" spans="1:20" ht="15.75" customHeight="1" x14ac:dyDescent="0.2">
      <c r="A134" s="43"/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9"/>
      <c r="Q134" s="28"/>
      <c r="R134" s="28"/>
      <c r="S134" s="28"/>
      <c r="T134" s="49"/>
    </row>
    <row r="135" spans="1:20" ht="13.5" thickBot="1" x14ac:dyDescent="0.25">
      <c r="A135" s="45"/>
      <c r="B135" s="46"/>
      <c r="C135" s="46"/>
      <c r="D135" s="46"/>
      <c r="E135" s="46"/>
      <c r="F135" s="46"/>
      <c r="G135" s="48"/>
      <c r="H135" s="48"/>
      <c r="I135" s="48"/>
      <c r="J135" s="48"/>
      <c r="K135" s="48"/>
      <c r="L135" s="48"/>
      <c r="M135" s="48"/>
      <c r="N135" s="48"/>
      <c r="O135" s="49"/>
      <c r="Q135" s="28"/>
      <c r="R135" s="28"/>
      <c r="S135" s="28"/>
      <c r="T135" s="67"/>
    </row>
    <row r="136" spans="1:20" ht="13.5" thickBot="1" x14ac:dyDescent="0.25">
      <c r="A136" s="49"/>
      <c r="B136" s="59"/>
      <c r="C136" s="60"/>
      <c r="D136" s="60"/>
      <c r="E136" s="60"/>
      <c r="F136" s="60"/>
      <c r="G136" s="60"/>
      <c r="H136" s="60"/>
      <c r="I136" s="60"/>
      <c r="J136" s="60"/>
      <c r="K136" s="60"/>
      <c r="L136" s="60"/>
      <c r="M136" s="60"/>
      <c r="N136" s="61"/>
      <c r="O136" s="49"/>
      <c r="Q136" s="23"/>
      <c r="R136" s="55"/>
      <c r="S136" s="56"/>
      <c r="T136" s="67"/>
    </row>
    <row r="137" spans="1:20" ht="13.5" thickBot="1" x14ac:dyDescent="0.25">
      <c r="A137" s="45"/>
      <c r="B137" s="46"/>
      <c r="C137" s="46"/>
      <c r="D137" s="46"/>
      <c r="E137" s="46"/>
      <c r="F137" s="46"/>
      <c r="G137" s="60"/>
      <c r="H137" s="60"/>
      <c r="I137" s="60"/>
      <c r="J137" s="60"/>
      <c r="K137" s="60"/>
      <c r="L137" s="60"/>
      <c r="M137" s="60"/>
      <c r="N137" s="60"/>
      <c r="O137" s="49"/>
      <c r="Q137" s="46"/>
      <c r="R137" s="46"/>
      <c r="S137" s="58"/>
      <c r="T137" s="67"/>
    </row>
    <row r="138" spans="1:20" ht="13.5" thickBot="1" x14ac:dyDescent="0.25">
      <c r="A138" s="49"/>
      <c r="B138" s="54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55"/>
      <c r="S138" s="56"/>
      <c r="T138" s="67"/>
    </row>
    <row r="139" spans="1:20" x14ac:dyDescent="0.2">
      <c r="A139" s="49"/>
      <c r="B139" s="57"/>
      <c r="C139" s="57"/>
      <c r="D139" s="57"/>
      <c r="E139" s="57"/>
      <c r="F139" s="57"/>
      <c r="G139" s="57"/>
      <c r="H139" s="57"/>
      <c r="I139" s="57"/>
      <c r="J139" s="57"/>
      <c r="K139" s="57"/>
      <c r="L139" s="57"/>
      <c r="M139" s="57"/>
      <c r="N139" s="57"/>
      <c r="O139" s="57"/>
      <c r="P139" s="57"/>
      <c r="Q139" s="57"/>
      <c r="R139" s="57"/>
      <c r="S139" s="58"/>
      <c r="T139" s="50"/>
    </row>
    <row r="140" spans="1:20" x14ac:dyDescent="0.2">
      <c r="A140" s="49"/>
      <c r="B140" s="57"/>
      <c r="C140" s="57"/>
      <c r="D140" s="57"/>
      <c r="E140" s="57"/>
      <c r="F140" s="57"/>
      <c r="G140" s="57"/>
      <c r="H140" s="57"/>
      <c r="I140" s="57"/>
      <c r="J140" s="57"/>
      <c r="K140" s="57"/>
      <c r="L140" s="57"/>
      <c r="M140" s="57"/>
      <c r="N140" s="57"/>
      <c r="O140" s="57"/>
      <c r="P140" s="57"/>
      <c r="Q140" s="57"/>
      <c r="R140" s="57"/>
      <c r="S140" s="58"/>
      <c r="T140" s="62"/>
    </row>
    <row r="141" spans="1:20" x14ac:dyDescent="0.2">
      <c r="A141" s="49"/>
      <c r="B141" s="59"/>
      <c r="C141" s="60"/>
      <c r="D141" s="60"/>
      <c r="E141" s="60"/>
      <c r="F141" s="60"/>
      <c r="G141" s="60"/>
      <c r="H141" s="60"/>
      <c r="I141" s="60"/>
      <c r="J141" s="60"/>
      <c r="K141" s="60"/>
      <c r="L141" s="60"/>
      <c r="M141" s="60"/>
      <c r="N141" s="61"/>
      <c r="O141" s="49"/>
      <c r="Q141" s="28"/>
      <c r="R141" s="28"/>
      <c r="S141" s="28"/>
      <c r="T141" s="62"/>
    </row>
    <row r="142" spans="1:20" x14ac:dyDescent="0.2">
      <c r="A142" s="49"/>
      <c r="B142" s="59"/>
      <c r="C142" s="60"/>
      <c r="D142" s="60"/>
      <c r="E142" s="60"/>
      <c r="F142" s="60"/>
      <c r="G142" s="60"/>
      <c r="H142" s="60"/>
      <c r="I142" s="60"/>
      <c r="J142" s="60"/>
      <c r="K142" s="60"/>
      <c r="L142" s="60"/>
      <c r="M142" s="60"/>
      <c r="N142" s="60"/>
      <c r="O142" s="60"/>
      <c r="P142" s="60"/>
      <c r="Q142" s="60"/>
      <c r="R142" s="60"/>
      <c r="S142" s="60"/>
      <c r="T142" s="62"/>
    </row>
    <row r="143" spans="1:20" ht="13.5" thickBot="1" x14ac:dyDescent="0.25">
      <c r="A143" s="45"/>
      <c r="B143" s="46"/>
      <c r="C143" s="46"/>
      <c r="D143" s="46"/>
      <c r="E143" s="46"/>
      <c r="F143" s="46"/>
      <c r="G143" s="48"/>
      <c r="H143" s="48"/>
      <c r="I143" s="48"/>
      <c r="J143" s="48"/>
      <c r="K143" s="48"/>
      <c r="L143" s="48"/>
      <c r="M143" s="48"/>
      <c r="N143" s="48"/>
      <c r="O143" s="49"/>
      <c r="Q143" s="28"/>
      <c r="R143" s="28"/>
      <c r="S143" s="28"/>
      <c r="T143" s="62"/>
    </row>
    <row r="144" spans="1:20" ht="13.5" thickBot="1" x14ac:dyDescent="0.25">
      <c r="A144" s="49"/>
      <c r="B144" s="59"/>
      <c r="C144" s="60"/>
      <c r="D144" s="60"/>
      <c r="E144" s="60"/>
      <c r="F144" s="60"/>
      <c r="G144" s="60"/>
      <c r="H144" s="60"/>
      <c r="I144" s="60"/>
      <c r="J144" s="60"/>
      <c r="K144" s="60"/>
      <c r="L144" s="60"/>
      <c r="M144" s="60"/>
      <c r="N144" s="61"/>
      <c r="O144" s="49"/>
      <c r="Q144" s="23"/>
      <c r="R144" s="55"/>
      <c r="S144" s="56"/>
      <c r="T144" s="62"/>
    </row>
    <row r="145" spans="1:20" x14ac:dyDescent="0.2">
      <c r="A145" s="20"/>
      <c r="B145" s="48"/>
      <c r="C145" s="48"/>
      <c r="D145" s="48"/>
      <c r="E145" s="48"/>
      <c r="F145" s="48"/>
      <c r="G145" s="48"/>
      <c r="H145" s="48"/>
      <c r="I145" s="48"/>
      <c r="J145" s="48"/>
      <c r="K145" s="48"/>
      <c r="L145" s="48"/>
      <c r="M145" s="48"/>
      <c r="N145" s="48"/>
      <c r="O145" s="48"/>
      <c r="P145" s="48"/>
    </row>
    <row r="146" spans="1:20" x14ac:dyDescent="0.2">
      <c r="A146" s="20"/>
      <c r="B146" s="48"/>
      <c r="C146" s="48"/>
      <c r="D146" s="48"/>
      <c r="E146" s="48"/>
      <c r="F146" s="48"/>
      <c r="G146" s="48"/>
      <c r="H146" s="48"/>
      <c r="I146" s="48"/>
      <c r="J146" s="48"/>
      <c r="K146" s="48"/>
      <c r="L146" s="48"/>
      <c r="M146" s="48"/>
      <c r="N146" s="48"/>
      <c r="O146" s="48"/>
      <c r="P146" s="48"/>
    </row>
    <row r="147" spans="1:20" x14ac:dyDescent="0.2">
      <c r="A147" s="20"/>
      <c r="B147" s="48"/>
      <c r="C147" s="48"/>
      <c r="D147" s="48"/>
      <c r="E147" s="48"/>
      <c r="F147" s="48"/>
      <c r="G147" s="48"/>
      <c r="H147" s="48"/>
      <c r="I147" s="48"/>
      <c r="J147" s="48"/>
      <c r="K147" s="48"/>
      <c r="L147" s="48"/>
      <c r="M147" s="48"/>
      <c r="N147" s="48"/>
      <c r="O147" s="48"/>
      <c r="P147" s="48"/>
    </row>
    <row r="148" spans="1:20" x14ac:dyDescent="0.2">
      <c r="A148" s="20"/>
      <c r="B148" s="48"/>
      <c r="C148" s="48"/>
      <c r="D148" s="48"/>
      <c r="E148" s="48"/>
      <c r="F148" s="48"/>
      <c r="G148" s="48"/>
      <c r="H148" s="48"/>
      <c r="I148" s="48"/>
      <c r="J148" s="48"/>
      <c r="K148" s="48"/>
      <c r="L148" s="48"/>
      <c r="M148" s="48"/>
      <c r="N148" s="48"/>
      <c r="O148" s="48"/>
      <c r="P148" s="48"/>
    </row>
    <row r="149" spans="1:20" x14ac:dyDescent="0.2">
      <c r="A149" s="20"/>
      <c r="B149" s="48"/>
      <c r="C149" s="48"/>
      <c r="D149" s="48"/>
      <c r="E149" s="48"/>
      <c r="F149" s="48"/>
      <c r="G149" s="48"/>
      <c r="H149" s="48"/>
      <c r="I149" s="48"/>
      <c r="J149" s="48"/>
      <c r="K149" s="48"/>
      <c r="L149" s="48"/>
      <c r="M149" s="48"/>
      <c r="N149" s="48"/>
      <c r="O149" s="48"/>
      <c r="P149" s="48"/>
    </row>
    <row r="150" spans="1:20" x14ac:dyDescent="0.2">
      <c r="A150" s="43"/>
      <c r="B150" s="48"/>
      <c r="C150" s="48"/>
      <c r="D150" s="48"/>
      <c r="E150" s="48"/>
      <c r="F150" s="48"/>
      <c r="G150" s="48"/>
      <c r="H150" s="48"/>
      <c r="I150" s="48"/>
      <c r="J150" s="48"/>
      <c r="K150" s="48"/>
      <c r="L150" s="48"/>
      <c r="M150" s="48"/>
      <c r="N150" s="48"/>
      <c r="O150" s="48"/>
      <c r="P150" s="48"/>
    </row>
    <row r="151" spans="1:20" x14ac:dyDescent="0.2">
      <c r="A151" s="43"/>
      <c r="B151" s="48"/>
      <c r="C151" s="48"/>
      <c r="D151" s="48"/>
      <c r="E151" s="48"/>
      <c r="F151" s="48"/>
      <c r="G151" s="48"/>
      <c r="H151" s="48"/>
      <c r="I151" s="48"/>
      <c r="J151" s="48"/>
      <c r="K151" s="48"/>
      <c r="L151" s="48"/>
      <c r="M151" s="48"/>
      <c r="N151" s="48"/>
      <c r="O151" s="48"/>
      <c r="P151" s="48"/>
    </row>
    <row r="152" spans="1:20" x14ac:dyDescent="0.2">
      <c r="A152" s="43"/>
      <c r="B152" s="48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</row>
    <row r="153" spans="1:20" x14ac:dyDescent="0.2">
      <c r="A153" s="43"/>
      <c r="B153" s="48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</row>
    <row r="154" spans="1:20" x14ac:dyDescent="0.2">
      <c r="A154" s="45"/>
      <c r="B154" s="46"/>
      <c r="C154" s="46"/>
      <c r="D154" s="46"/>
      <c r="E154" s="46"/>
      <c r="F154" s="46"/>
      <c r="G154" s="46"/>
      <c r="H154" s="48"/>
      <c r="I154" s="48"/>
      <c r="J154" s="48"/>
      <c r="K154" s="48"/>
      <c r="L154" s="48"/>
      <c r="M154" s="48"/>
      <c r="N154" s="48"/>
      <c r="O154" s="48"/>
      <c r="P154" s="48"/>
      <c r="Q154" s="48"/>
      <c r="R154" s="48"/>
      <c r="S154" s="48"/>
      <c r="T154" s="50"/>
    </row>
    <row r="155" spans="1:20" x14ac:dyDescent="0.2">
      <c r="A155" s="43"/>
      <c r="B155" s="48"/>
      <c r="C155" s="48"/>
      <c r="D155" s="48"/>
      <c r="E155" s="48"/>
      <c r="F155" s="48"/>
      <c r="G155" s="48"/>
      <c r="H155" s="48"/>
      <c r="I155" s="48"/>
      <c r="J155" s="48"/>
      <c r="K155" s="48"/>
      <c r="L155" s="48"/>
      <c r="M155" s="48"/>
      <c r="N155" s="48"/>
      <c r="O155" s="48"/>
      <c r="P155" s="48"/>
      <c r="Q155" s="28"/>
      <c r="R155" s="28"/>
      <c r="S155" s="28"/>
      <c r="T155" s="62"/>
    </row>
    <row r="156" spans="1:20" x14ac:dyDescent="0.2">
      <c r="A156" s="43"/>
      <c r="B156" s="48"/>
      <c r="C156" s="48"/>
      <c r="D156" s="48"/>
      <c r="E156" s="48"/>
      <c r="F156" s="48"/>
      <c r="G156" s="48"/>
      <c r="H156" s="48"/>
      <c r="I156" s="48"/>
      <c r="J156" s="48"/>
      <c r="K156" s="48"/>
      <c r="L156" s="48"/>
      <c r="M156" s="48"/>
      <c r="N156" s="48"/>
      <c r="O156" s="48"/>
      <c r="P156" s="48"/>
      <c r="Q156" s="28"/>
      <c r="R156" s="28"/>
      <c r="S156" s="28"/>
      <c r="T156" s="62"/>
    </row>
    <row r="157" spans="1:20" x14ac:dyDescent="0.2">
      <c r="A157" s="45"/>
      <c r="B157" s="46"/>
      <c r="C157" s="46"/>
      <c r="D157" s="46"/>
      <c r="E157" s="46"/>
      <c r="F157" s="46"/>
      <c r="G157" s="46"/>
      <c r="H157" s="48"/>
      <c r="I157" s="48"/>
      <c r="J157" s="48"/>
      <c r="K157" s="48"/>
      <c r="L157" s="48"/>
      <c r="M157" s="48"/>
      <c r="N157" s="48"/>
      <c r="O157" s="48"/>
      <c r="P157" s="48"/>
      <c r="Q157" s="48"/>
      <c r="R157" s="48"/>
      <c r="S157" s="48"/>
      <c r="T157" s="62"/>
    </row>
    <row r="158" spans="1:20" x14ac:dyDescent="0.2">
      <c r="A158" s="43"/>
      <c r="B158" s="48"/>
      <c r="C158" s="48"/>
      <c r="D158" s="48"/>
      <c r="E158" s="48"/>
      <c r="F158" s="48"/>
      <c r="G158" s="48"/>
      <c r="H158" s="48"/>
      <c r="I158" s="48"/>
      <c r="J158" s="48"/>
      <c r="K158" s="48"/>
      <c r="L158" s="48"/>
      <c r="M158" s="48"/>
      <c r="N158" s="48"/>
      <c r="O158" s="48"/>
      <c r="P158" s="48"/>
      <c r="Q158" s="28"/>
      <c r="R158" s="28"/>
      <c r="S158" s="28"/>
      <c r="T158" s="62"/>
    </row>
    <row r="159" spans="1:20" x14ac:dyDescent="0.2">
      <c r="A159" s="43"/>
      <c r="B159" s="48"/>
      <c r="C159" s="48"/>
      <c r="D159" s="48"/>
      <c r="E159" s="48"/>
      <c r="F159" s="48"/>
      <c r="G159" s="48"/>
      <c r="H159" s="48"/>
      <c r="I159" s="48"/>
      <c r="J159" s="48"/>
      <c r="K159" s="48"/>
      <c r="L159" s="48"/>
      <c r="M159" s="48"/>
      <c r="N159" s="48"/>
      <c r="O159" s="48"/>
      <c r="P159" s="48"/>
      <c r="Q159" s="28"/>
      <c r="R159" s="28"/>
      <c r="S159" s="28"/>
      <c r="T159" s="62"/>
    </row>
    <row r="160" spans="1:20" x14ac:dyDescent="0.2">
      <c r="A160" s="43"/>
      <c r="B160" s="48"/>
      <c r="C160" s="48"/>
      <c r="D160" s="48"/>
      <c r="E160" s="48"/>
      <c r="F160" s="48"/>
      <c r="G160" s="48"/>
      <c r="H160" s="48"/>
      <c r="I160" s="48"/>
      <c r="J160" s="48"/>
      <c r="K160" s="48"/>
      <c r="L160" s="48"/>
      <c r="M160" s="48"/>
      <c r="N160" s="48"/>
      <c r="O160" s="48"/>
      <c r="P160" s="48"/>
      <c r="Q160" s="28"/>
      <c r="R160" s="28"/>
      <c r="S160" s="28"/>
      <c r="T160" s="62"/>
    </row>
    <row r="161" spans="1:20" x14ac:dyDescent="0.2">
      <c r="A161" s="43"/>
      <c r="B161" s="48"/>
      <c r="C161" s="48"/>
      <c r="D161" s="48"/>
      <c r="E161" s="48"/>
      <c r="F161" s="48"/>
      <c r="G161" s="48"/>
      <c r="H161" s="48"/>
      <c r="I161" s="48"/>
      <c r="J161" s="48"/>
      <c r="K161" s="48"/>
      <c r="L161" s="48"/>
      <c r="M161" s="48"/>
      <c r="N161" s="48"/>
      <c r="O161" s="49"/>
      <c r="Q161" s="28"/>
      <c r="R161" s="28"/>
      <c r="S161" s="28"/>
      <c r="T161" s="62"/>
    </row>
    <row r="162" spans="1:20" ht="13.5" thickBot="1" x14ac:dyDescent="0.25">
      <c r="A162" s="45"/>
      <c r="B162" s="46"/>
      <c r="C162" s="46"/>
      <c r="D162" s="46"/>
      <c r="E162" s="46"/>
      <c r="F162" s="46"/>
      <c r="G162" s="48"/>
      <c r="H162" s="48"/>
      <c r="I162" s="48"/>
      <c r="J162" s="48"/>
      <c r="K162" s="48"/>
      <c r="L162" s="48"/>
      <c r="M162" s="48"/>
      <c r="N162" s="48"/>
      <c r="O162" s="49"/>
      <c r="Q162" s="28"/>
      <c r="R162" s="28"/>
      <c r="S162" s="28"/>
      <c r="T162" s="62"/>
    </row>
    <row r="163" spans="1:20" ht="13.5" thickBot="1" x14ac:dyDescent="0.25">
      <c r="A163" s="49"/>
      <c r="B163" s="59"/>
      <c r="C163" s="60"/>
      <c r="D163" s="60"/>
      <c r="E163" s="60"/>
      <c r="F163" s="60"/>
      <c r="G163" s="60"/>
      <c r="H163" s="60"/>
      <c r="I163" s="60"/>
      <c r="J163" s="60"/>
      <c r="K163" s="60"/>
      <c r="L163" s="60"/>
      <c r="M163" s="60"/>
      <c r="N163" s="61"/>
      <c r="O163" s="49"/>
      <c r="Q163" s="23"/>
      <c r="R163" s="55"/>
      <c r="S163" s="56"/>
      <c r="T163" s="62"/>
    </row>
    <row r="164" spans="1:20" ht="13.5" thickBot="1" x14ac:dyDescent="0.25">
      <c r="A164" s="45"/>
      <c r="B164" s="46"/>
      <c r="C164" s="46"/>
      <c r="D164" s="46"/>
      <c r="E164" s="46"/>
      <c r="F164" s="46"/>
      <c r="G164" s="60"/>
      <c r="H164" s="60"/>
      <c r="I164" s="60"/>
      <c r="J164" s="60"/>
      <c r="K164" s="60"/>
      <c r="L164" s="60"/>
      <c r="M164" s="60"/>
      <c r="N164" s="60"/>
      <c r="O164" s="49"/>
      <c r="Q164" s="46"/>
      <c r="R164" s="46"/>
      <c r="S164" s="58"/>
      <c r="T164" s="62"/>
    </row>
    <row r="165" spans="1:20" ht="13.5" thickBot="1" x14ac:dyDescent="0.25">
      <c r="A165" s="49"/>
      <c r="B165" s="54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55"/>
      <c r="S165" s="56"/>
      <c r="T165" s="62"/>
    </row>
    <row r="166" spans="1:20" x14ac:dyDescent="0.2">
      <c r="A166" s="49"/>
      <c r="B166" s="46"/>
      <c r="C166" s="46"/>
      <c r="D166" s="46"/>
      <c r="E166" s="46"/>
      <c r="F166" s="46"/>
      <c r="G166" s="46"/>
      <c r="H166" s="46"/>
      <c r="I166" s="46"/>
      <c r="J166" s="46"/>
      <c r="K166" s="46"/>
      <c r="L166" s="46"/>
      <c r="M166" s="46"/>
      <c r="N166" s="46"/>
      <c r="O166" s="46"/>
      <c r="P166" s="46"/>
      <c r="Q166" s="46"/>
      <c r="R166" s="46"/>
      <c r="S166" s="58"/>
      <c r="T166" s="62"/>
    </row>
    <row r="167" spans="1:20" x14ac:dyDescent="0.2">
      <c r="A167" s="49"/>
      <c r="B167" s="46"/>
      <c r="C167" s="46"/>
      <c r="D167" s="46"/>
      <c r="E167" s="46"/>
      <c r="F167" s="46"/>
      <c r="G167" s="46"/>
      <c r="H167" s="46"/>
      <c r="I167" s="46"/>
      <c r="J167" s="46"/>
      <c r="K167" s="46"/>
      <c r="L167" s="46"/>
      <c r="M167" s="46"/>
      <c r="N167" s="46"/>
      <c r="O167" s="46"/>
      <c r="P167" s="46"/>
      <c r="Q167" s="46"/>
      <c r="R167" s="46"/>
      <c r="S167" s="58"/>
      <c r="T167" s="62"/>
    </row>
    <row r="168" spans="1:20" x14ac:dyDescent="0.2">
      <c r="A168" s="49"/>
      <c r="B168" s="59"/>
      <c r="C168" s="60"/>
      <c r="D168" s="60"/>
      <c r="E168" s="60"/>
      <c r="F168" s="60"/>
      <c r="G168" s="60"/>
      <c r="H168" s="60"/>
      <c r="I168" s="60"/>
      <c r="J168" s="60"/>
      <c r="K168" s="60"/>
      <c r="L168" s="60"/>
      <c r="M168" s="60"/>
      <c r="N168" s="61"/>
      <c r="O168" s="49"/>
      <c r="Q168" s="28"/>
      <c r="R168" s="28"/>
      <c r="S168" s="28"/>
      <c r="T168" s="49"/>
    </row>
    <row r="169" spans="1:20" x14ac:dyDescent="0.2">
      <c r="A169" s="49"/>
      <c r="B169" s="59"/>
      <c r="C169" s="60"/>
      <c r="D169" s="60"/>
      <c r="E169" s="60"/>
      <c r="F169" s="60"/>
      <c r="G169" s="60"/>
      <c r="H169" s="60"/>
      <c r="I169" s="60"/>
      <c r="J169" s="60"/>
      <c r="K169" s="60"/>
      <c r="L169" s="60"/>
      <c r="M169" s="60"/>
      <c r="N169" s="60"/>
      <c r="O169" s="60"/>
      <c r="P169" s="60"/>
      <c r="Q169" s="60"/>
      <c r="R169" s="60"/>
      <c r="S169" s="60"/>
      <c r="T169" s="49"/>
    </row>
    <row r="170" spans="1:20" x14ac:dyDescent="0.2">
      <c r="A170" s="45"/>
      <c r="B170" s="46"/>
      <c r="C170" s="46"/>
      <c r="D170" s="46"/>
      <c r="E170" s="46"/>
      <c r="F170" s="46"/>
      <c r="G170" s="60"/>
      <c r="H170" s="60"/>
      <c r="I170" s="60"/>
      <c r="J170" s="60"/>
      <c r="K170" s="60"/>
      <c r="L170" s="60"/>
      <c r="M170" s="60"/>
      <c r="N170" s="60"/>
      <c r="O170" s="49"/>
      <c r="Q170" s="46"/>
      <c r="R170" s="46"/>
      <c r="S170" s="58"/>
      <c r="T170" s="67"/>
    </row>
    <row r="178" spans="1:18" x14ac:dyDescent="0.2">
      <c r="A178" s="45"/>
      <c r="B178" s="46"/>
      <c r="C178" s="46"/>
      <c r="D178" s="46"/>
      <c r="E178" s="46"/>
      <c r="F178" s="46"/>
      <c r="G178" s="47"/>
      <c r="H178" s="48"/>
      <c r="I178" s="48"/>
      <c r="J178" s="48"/>
      <c r="K178" s="48"/>
      <c r="L178" s="49"/>
      <c r="M178" s="48"/>
      <c r="N178" s="48"/>
      <c r="O178" s="48"/>
      <c r="P178" s="48"/>
      <c r="Q178" s="28"/>
      <c r="R178" s="28"/>
    </row>
    <row r="179" spans="1:18" x14ac:dyDescent="0.2">
      <c r="A179" s="43"/>
      <c r="B179" s="48"/>
      <c r="C179" s="48"/>
      <c r="D179" s="48"/>
      <c r="E179" s="48"/>
      <c r="F179" s="48"/>
      <c r="G179" s="48"/>
      <c r="H179" s="48"/>
      <c r="I179" s="48"/>
      <c r="J179" s="48"/>
      <c r="K179" s="48"/>
      <c r="L179" s="48"/>
      <c r="M179" s="48"/>
      <c r="N179" s="48"/>
      <c r="O179" s="48"/>
      <c r="P179" s="48"/>
      <c r="Q179" s="48"/>
      <c r="R179" s="48"/>
    </row>
    <row r="180" spans="1:18" x14ac:dyDescent="0.2">
      <c r="A180" s="43"/>
      <c r="B180" s="48"/>
      <c r="C180" s="48"/>
      <c r="D180" s="48"/>
      <c r="E180" s="48"/>
      <c r="F180" s="48"/>
      <c r="G180" s="47"/>
      <c r="H180" s="48"/>
      <c r="I180" s="48"/>
      <c r="J180" s="48"/>
      <c r="K180" s="48"/>
      <c r="L180" s="48"/>
      <c r="M180" s="48"/>
      <c r="N180" s="48"/>
      <c r="O180" s="48"/>
      <c r="P180" s="48"/>
      <c r="Q180" s="28"/>
      <c r="R180" s="28"/>
    </row>
    <row r="181" spans="1:18" x14ac:dyDescent="0.2">
      <c r="A181" s="43"/>
      <c r="B181" s="48"/>
      <c r="C181" s="48"/>
      <c r="D181" s="48"/>
      <c r="E181" s="48"/>
      <c r="F181" s="48"/>
      <c r="G181" s="52"/>
      <c r="H181" s="52"/>
      <c r="I181" s="48"/>
      <c r="J181" s="48"/>
      <c r="K181" s="48"/>
      <c r="L181" s="48"/>
      <c r="M181" s="48"/>
      <c r="N181" s="48"/>
      <c r="O181" s="48"/>
      <c r="P181" s="48"/>
      <c r="Q181" s="28"/>
      <c r="R181" s="28"/>
    </row>
    <row r="182" spans="1:18" x14ac:dyDescent="0.2">
      <c r="A182" s="43"/>
      <c r="B182" s="48"/>
      <c r="C182" s="48"/>
      <c r="D182" s="48"/>
      <c r="E182" s="48"/>
      <c r="F182" s="48"/>
      <c r="G182" s="48"/>
      <c r="H182" s="48"/>
      <c r="I182" s="48"/>
      <c r="J182" s="48"/>
      <c r="K182" s="48"/>
      <c r="L182" s="48"/>
      <c r="M182" s="48"/>
      <c r="N182" s="48"/>
      <c r="O182" s="49"/>
      <c r="Q182" s="28"/>
      <c r="R182" s="28"/>
    </row>
    <row r="183" spans="1:18" ht="13.5" thickBot="1" x14ac:dyDescent="0.25">
      <c r="A183" s="45"/>
      <c r="B183" s="46"/>
      <c r="C183" s="46"/>
      <c r="D183" s="46"/>
      <c r="E183" s="46"/>
      <c r="F183" s="46"/>
      <c r="G183" s="48"/>
      <c r="H183" s="48"/>
      <c r="I183" s="48"/>
      <c r="J183" s="48"/>
      <c r="K183" s="48"/>
      <c r="L183" s="48"/>
      <c r="M183" s="48"/>
      <c r="N183" s="48"/>
      <c r="O183" s="49"/>
      <c r="Q183" s="28"/>
      <c r="R183" s="28"/>
    </row>
    <row r="184" spans="1:18" ht="13.5" thickBot="1" x14ac:dyDescent="0.25">
      <c r="A184" s="49"/>
      <c r="B184" s="59"/>
      <c r="C184" s="60"/>
      <c r="D184" s="60"/>
      <c r="E184" s="60"/>
      <c r="F184" s="60"/>
      <c r="G184" s="60"/>
      <c r="H184" s="60"/>
      <c r="I184" s="60"/>
      <c r="J184" s="60"/>
      <c r="K184" s="60"/>
      <c r="L184" s="60"/>
      <c r="M184" s="60"/>
      <c r="N184" s="61"/>
      <c r="O184" s="49"/>
      <c r="Q184" s="23"/>
      <c r="R184" s="55"/>
    </row>
    <row r="185" spans="1:18" ht="13.5" thickBot="1" x14ac:dyDescent="0.25">
      <c r="A185" s="45"/>
      <c r="B185" s="46"/>
      <c r="C185" s="46"/>
      <c r="D185" s="46"/>
      <c r="E185" s="46"/>
      <c r="F185" s="46"/>
      <c r="G185" s="60"/>
      <c r="H185" s="60"/>
      <c r="I185" s="60"/>
      <c r="J185" s="60"/>
      <c r="K185" s="60"/>
      <c r="L185" s="60"/>
      <c r="M185" s="60"/>
      <c r="N185" s="60"/>
      <c r="O185" s="49"/>
      <c r="Q185" s="46"/>
      <c r="R185" s="46"/>
    </row>
    <row r="186" spans="1:18" ht="13.5" thickBot="1" x14ac:dyDescent="0.25">
      <c r="A186" s="49"/>
      <c r="B186" s="54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55"/>
    </row>
    <row r="187" spans="1:18" x14ac:dyDescent="0.2">
      <c r="A187" s="49"/>
      <c r="B187" s="57"/>
      <c r="C187" s="57"/>
      <c r="D187" s="57"/>
      <c r="E187" s="57"/>
      <c r="F187" s="57"/>
      <c r="G187" s="57"/>
      <c r="H187" s="57"/>
      <c r="I187" s="57"/>
      <c r="J187" s="57"/>
      <c r="K187" s="57"/>
      <c r="L187" s="57"/>
      <c r="M187" s="57"/>
      <c r="N187" s="57"/>
      <c r="O187" s="57"/>
      <c r="P187" s="57"/>
      <c r="Q187" s="57"/>
      <c r="R187" s="57"/>
    </row>
    <row r="188" spans="1:18" x14ac:dyDescent="0.2">
      <c r="A188" s="49"/>
      <c r="B188" s="57"/>
      <c r="C188" s="57"/>
      <c r="D188" s="57"/>
      <c r="E188" s="57"/>
      <c r="F188" s="57"/>
      <c r="G188" s="57"/>
      <c r="H188" s="57"/>
      <c r="I188" s="57"/>
      <c r="J188" s="57"/>
      <c r="K188" s="57"/>
      <c r="L188" s="57"/>
      <c r="M188" s="57"/>
      <c r="N188" s="57"/>
      <c r="O188" s="57"/>
      <c r="P188" s="57"/>
      <c r="Q188" s="57"/>
      <c r="R188" s="57"/>
    </row>
    <row r="189" spans="1:18" x14ac:dyDescent="0.2">
      <c r="A189" s="49"/>
      <c r="B189" s="59"/>
      <c r="C189" s="60"/>
      <c r="D189" s="60"/>
      <c r="E189" s="60"/>
      <c r="F189" s="60"/>
      <c r="G189" s="60"/>
      <c r="H189" s="60"/>
      <c r="I189" s="60"/>
      <c r="J189" s="60"/>
      <c r="K189" s="60"/>
      <c r="L189" s="60"/>
      <c r="M189" s="60"/>
      <c r="N189" s="61"/>
      <c r="O189" s="49"/>
      <c r="Q189" s="28"/>
      <c r="R189" s="28"/>
    </row>
    <row r="190" spans="1:18" x14ac:dyDescent="0.2">
      <c r="A190" s="49"/>
      <c r="B190" s="59"/>
      <c r="C190" s="60"/>
      <c r="D190" s="60"/>
      <c r="E190" s="60"/>
      <c r="F190" s="60"/>
      <c r="G190" s="60"/>
      <c r="H190" s="60"/>
      <c r="I190" s="60"/>
      <c r="J190" s="60"/>
      <c r="K190" s="60"/>
      <c r="L190" s="60"/>
      <c r="M190" s="60"/>
      <c r="N190" s="60"/>
      <c r="O190" s="60"/>
      <c r="P190" s="60"/>
      <c r="Q190" s="60"/>
      <c r="R190" s="60"/>
    </row>
    <row r="191" spans="1:18" x14ac:dyDescent="0.2">
      <c r="A191" s="43"/>
      <c r="B191" s="48"/>
      <c r="C191" s="48"/>
      <c r="D191" s="48"/>
      <c r="E191" s="48"/>
      <c r="F191" s="48"/>
      <c r="G191" s="48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</row>
    <row r="192" spans="1:18" x14ac:dyDescent="0.2">
      <c r="A192" s="43"/>
      <c r="B192" s="48"/>
      <c r="C192" s="48"/>
      <c r="D192" s="48"/>
      <c r="E192" s="48"/>
      <c r="F192" s="48"/>
      <c r="G192" s="47"/>
      <c r="H192" s="48"/>
      <c r="I192" s="48"/>
      <c r="J192" s="48"/>
      <c r="K192" s="48"/>
      <c r="L192" s="48"/>
      <c r="M192" s="48"/>
      <c r="N192" s="48"/>
      <c r="O192" s="48"/>
      <c r="P192" s="48"/>
      <c r="Q192" s="28"/>
      <c r="R192" s="28"/>
    </row>
    <row r="193" spans="1:24" x14ac:dyDescent="0.2">
      <c r="A193" s="43"/>
      <c r="B193" s="48"/>
      <c r="C193" s="48"/>
      <c r="D193" s="48"/>
      <c r="E193" s="48"/>
      <c r="F193" s="48"/>
      <c r="G193" s="52"/>
      <c r="H193" s="52"/>
      <c r="I193" s="48"/>
      <c r="J193" s="48"/>
      <c r="K193" s="48"/>
      <c r="L193" s="48"/>
      <c r="M193" s="48"/>
      <c r="N193" s="48"/>
      <c r="O193" s="48"/>
      <c r="P193" s="48"/>
      <c r="Q193" s="28"/>
      <c r="R193" s="28"/>
    </row>
    <row r="194" spans="1:24" x14ac:dyDescent="0.2">
      <c r="A194" s="43"/>
      <c r="B194" s="48"/>
      <c r="C194" s="48"/>
      <c r="D194" s="48"/>
      <c r="E194" s="48"/>
      <c r="F194" s="48"/>
      <c r="G194" s="48"/>
      <c r="H194" s="48"/>
      <c r="I194" s="48"/>
      <c r="J194" s="48"/>
      <c r="K194" s="48"/>
      <c r="L194" s="48"/>
      <c r="M194" s="48"/>
      <c r="N194" s="48"/>
      <c r="O194" s="49"/>
      <c r="Q194" s="28"/>
      <c r="R194" s="28"/>
    </row>
    <row r="195" spans="1:24" ht="13.5" thickBot="1" x14ac:dyDescent="0.25">
      <c r="A195" s="45"/>
      <c r="B195" s="46"/>
      <c r="C195" s="46"/>
      <c r="D195" s="46"/>
      <c r="E195" s="46"/>
      <c r="F195" s="46"/>
      <c r="G195" s="48"/>
      <c r="H195" s="48"/>
      <c r="I195" s="48"/>
      <c r="J195" s="48"/>
      <c r="K195" s="48"/>
      <c r="L195" s="48"/>
      <c r="M195" s="48"/>
      <c r="N195" s="48"/>
      <c r="O195" s="49"/>
      <c r="Q195" s="28"/>
      <c r="R195" s="28"/>
      <c r="S195" s="68"/>
      <c r="T195" s="69"/>
      <c r="U195" s="68"/>
      <c r="V195" s="70"/>
      <c r="W195" s="71"/>
      <c r="X195" s="72"/>
    </row>
    <row r="196" spans="1:24" ht="13.5" thickBot="1" x14ac:dyDescent="0.25">
      <c r="A196" s="49"/>
      <c r="B196" s="59"/>
      <c r="C196" s="60"/>
      <c r="D196" s="60"/>
      <c r="E196" s="60"/>
      <c r="F196" s="60"/>
      <c r="G196" s="60"/>
      <c r="H196" s="60"/>
      <c r="I196" s="60"/>
      <c r="J196" s="60"/>
      <c r="K196" s="60"/>
      <c r="L196" s="60"/>
      <c r="M196" s="60"/>
      <c r="N196" s="61"/>
      <c r="O196" s="49"/>
      <c r="Q196" s="23"/>
      <c r="R196" s="55"/>
      <c r="S196" s="49"/>
      <c r="T196" s="62"/>
      <c r="U196" s="49"/>
      <c r="V196" s="49"/>
      <c r="W196" s="49"/>
      <c r="X196" s="49"/>
    </row>
    <row r="197" spans="1:24" ht="13.5" thickBot="1" x14ac:dyDescent="0.25">
      <c r="A197" s="45"/>
      <c r="B197" s="46"/>
      <c r="C197" s="46"/>
      <c r="D197" s="46"/>
      <c r="E197" s="46"/>
      <c r="F197" s="46"/>
      <c r="G197" s="60"/>
      <c r="H197" s="60"/>
      <c r="I197" s="60"/>
      <c r="J197" s="60"/>
      <c r="K197" s="60"/>
      <c r="L197" s="60"/>
      <c r="M197" s="60"/>
      <c r="N197" s="60"/>
      <c r="O197" s="49"/>
      <c r="Q197" s="46"/>
      <c r="R197" s="46"/>
      <c r="S197" s="48"/>
      <c r="T197" s="48"/>
      <c r="U197" s="48"/>
      <c r="V197" s="48"/>
      <c r="W197" s="48"/>
      <c r="X197" s="48"/>
    </row>
    <row r="198" spans="1:24" ht="13.5" thickBot="1" x14ac:dyDescent="0.25">
      <c r="A198" s="49"/>
      <c r="B198" s="54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55"/>
      <c r="S198" s="28"/>
      <c r="T198" s="62"/>
      <c r="U198" s="49"/>
      <c r="V198" s="49"/>
      <c r="W198" s="49"/>
      <c r="X198" s="49"/>
    </row>
    <row r="199" spans="1:24" x14ac:dyDescent="0.2">
      <c r="A199" s="49"/>
      <c r="B199" s="57"/>
      <c r="C199" s="57"/>
      <c r="D199" s="57"/>
      <c r="E199" s="57"/>
      <c r="F199" s="57"/>
      <c r="G199" s="57"/>
      <c r="H199" s="57"/>
      <c r="I199" s="57"/>
      <c r="J199" s="57"/>
      <c r="K199" s="57"/>
      <c r="L199" s="57"/>
      <c r="M199" s="57"/>
      <c r="N199" s="57"/>
      <c r="O199" s="57"/>
      <c r="P199" s="57"/>
      <c r="Q199" s="57"/>
      <c r="R199" s="57"/>
      <c r="S199" s="28"/>
      <c r="T199" s="62"/>
      <c r="U199" s="49"/>
      <c r="V199" s="49"/>
      <c r="W199" s="49"/>
      <c r="X199" s="49"/>
    </row>
    <row r="200" spans="1:24" x14ac:dyDescent="0.2">
      <c r="A200" s="49"/>
      <c r="B200" s="57"/>
      <c r="C200" s="57"/>
      <c r="D200" s="57"/>
      <c r="E200" s="57"/>
      <c r="F200" s="57"/>
      <c r="G200" s="57"/>
      <c r="H200" s="57"/>
      <c r="I200" s="57"/>
      <c r="J200" s="57"/>
      <c r="K200" s="57"/>
      <c r="L200" s="57"/>
      <c r="M200" s="57"/>
      <c r="N200" s="57"/>
      <c r="O200" s="57"/>
      <c r="P200" s="57"/>
      <c r="Q200" s="57"/>
      <c r="R200" s="57"/>
      <c r="S200" s="28"/>
      <c r="T200" s="49"/>
      <c r="U200" s="49"/>
      <c r="V200" s="49"/>
      <c r="W200" s="49"/>
      <c r="X200" s="49"/>
    </row>
    <row r="201" spans="1:24" x14ac:dyDescent="0.2">
      <c r="A201" s="49"/>
      <c r="B201" s="59"/>
      <c r="C201" s="60"/>
      <c r="D201" s="60"/>
      <c r="E201" s="60"/>
      <c r="F201" s="60"/>
      <c r="G201" s="60"/>
      <c r="H201" s="60"/>
      <c r="I201" s="60"/>
      <c r="J201" s="60"/>
      <c r="K201" s="60"/>
      <c r="L201" s="60"/>
      <c r="M201" s="60"/>
      <c r="N201" s="61"/>
      <c r="O201" s="49"/>
      <c r="Q201" s="28"/>
      <c r="R201" s="28"/>
      <c r="S201" s="28"/>
      <c r="T201" s="49"/>
      <c r="U201" s="49"/>
      <c r="V201" s="49"/>
      <c r="W201" s="49"/>
      <c r="X201" s="49"/>
    </row>
    <row r="202" spans="1:24" ht="13.5" thickBot="1" x14ac:dyDescent="0.25">
      <c r="A202" s="49"/>
      <c r="B202" s="59"/>
      <c r="C202" s="60"/>
      <c r="D202" s="60"/>
      <c r="E202" s="60"/>
      <c r="F202" s="60"/>
      <c r="G202" s="60"/>
      <c r="H202" s="60"/>
      <c r="I202" s="60"/>
      <c r="J202" s="60"/>
      <c r="K202" s="60"/>
      <c r="L202" s="60"/>
      <c r="M202" s="60"/>
      <c r="N202" s="60"/>
      <c r="O202" s="60"/>
      <c r="P202" s="60"/>
      <c r="Q202" s="60"/>
      <c r="R202" s="60"/>
      <c r="S202" s="28"/>
      <c r="T202" s="67"/>
      <c r="U202" s="67"/>
      <c r="V202" s="67"/>
      <c r="W202" s="67"/>
      <c r="X202" s="67"/>
    </row>
    <row r="203" spans="1:24" ht="13.5" thickBot="1" x14ac:dyDescent="0.25">
      <c r="A203" s="49"/>
      <c r="B203" s="59"/>
      <c r="C203" s="60"/>
      <c r="D203" s="60"/>
      <c r="E203" s="60"/>
      <c r="F203" s="60"/>
      <c r="G203" s="60"/>
      <c r="H203" s="60"/>
      <c r="I203" s="60"/>
      <c r="J203" s="60"/>
      <c r="K203" s="60"/>
      <c r="L203" s="60"/>
      <c r="M203" s="60"/>
      <c r="N203" s="61"/>
      <c r="O203" s="49"/>
      <c r="Q203" s="23"/>
      <c r="R203" s="55"/>
      <c r="S203" s="56"/>
      <c r="T203" s="67"/>
      <c r="U203" s="67"/>
      <c r="V203" s="67"/>
      <c r="W203" s="67"/>
      <c r="X203" s="67"/>
    </row>
    <row r="204" spans="1:24" ht="13.5" thickBot="1" x14ac:dyDescent="0.25">
      <c r="A204" s="45"/>
      <c r="B204" s="46"/>
      <c r="C204" s="46"/>
      <c r="D204" s="46"/>
      <c r="E204" s="46"/>
      <c r="F204" s="46"/>
      <c r="G204" s="60"/>
      <c r="H204" s="60"/>
      <c r="I204" s="60"/>
      <c r="J204" s="60"/>
      <c r="K204" s="60"/>
      <c r="L204" s="60"/>
      <c r="M204" s="60"/>
      <c r="N204" s="60"/>
      <c r="O204" s="49"/>
      <c r="Q204" s="46"/>
      <c r="R204" s="46"/>
      <c r="S204" s="58"/>
      <c r="T204" s="67"/>
      <c r="U204" s="67"/>
      <c r="V204" s="67"/>
      <c r="W204" s="67"/>
      <c r="X204" s="67"/>
    </row>
    <row r="205" spans="1:24" ht="13.5" thickBot="1" x14ac:dyDescent="0.25">
      <c r="A205" s="49"/>
      <c r="B205" s="54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55"/>
      <c r="S205" s="56"/>
      <c r="T205" s="67"/>
      <c r="U205" s="67"/>
      <c r="V205" s="67"/>
      <c r="W205" s="67"/>
      <c r="X205" s="67"/>
    </row>
    <row r="206" spans="1:24" x14ac:dyDescent="0.2">
      <c r="A206" s="49"/>
      <c r="B206" s="46"/>
      <c r="C206" s="46"/>
      <c r="D206" s="46"/>
      <c r="E206" s="46"/>
      <c r="F206" s="46"/>
      <c r="G206" s="46"/>
      <c r="H206" s="46"/>
      <c r="I206" s="46"/>
      <c r="J206" s="46"/>
      <c r="K206" s="46"/>
      <c r="L206" s="46"/>
      <c r="M206" s="46"/>
      <c r="N206" s="46"/>
      <c r="O206" s="46"/>
      <c r="P206" s="46"/>
      <c r="Q206" s="46"/>
      <c r="R206" s="46"/>
      <c r="S206" s="58"/>
      <c r="T206" s="50"/>
      <c r="U206" s="67"/>
      <c r="V206" s="67"/>
      <c r="W206" s="67"/>
      <c r="X206" s="67"/>
    </row>
    <row r="207" spans="1:24" x14ac:dyDescent="0.2">
      <c r="A207" s="49"/>
      <c r="B207" s="46"/>
      <c r="C207" s="46"/>
      <c r="D207" s="46"/>
      <c r="E207" s="46"/>
      <c r="F207" s="46"/>
      <c r="G207" s="46"/>
      <c r="H207" s="46"/>
      <c r="I207" s="46"/>
      <c r="J207" s="46"/>
      <c r="K207" s="46"/>
      <c r="L207" s="46"/>
      <c r="M207" s="46"/>
      <c r="N207" s="46"/>
      <c r="O207" s="46"/>
      <c r="P207" s="46"/>
      <c r="Q207" s="46"/>
      <c r="R207" s="46"/>
      <c r="S207" s="58"/>
      <c r="T207" s="62"/>
      <c r="U207" s="67"/>
      <c r="V207" s="67"/>
      <c r="W207" s="67"/>
      <c r="X207" s="67"/>
    </row>
    <row r="208" spans="1:24" x14ac:dyDescent="0.2">
      <c r="A208" s="49"/>
      <c r="B208" s="59"/>
      <c r="C208" s="60"/>
      <c r="D208" s="60"/>
      <c r="E208" s="60"/>
      <c r="F208" s="60"/>
      <c r="G208" s="60"/>
      <c r="H208" s="60"/>
      <c r="I208" s="60"/>
      <c r="J208" s="60"/>
      <c r="K208" s="60"/>
      <c r="L208" s="60"/>
      <c r="M208" s="60"/>
      <c r="N208" s="61"/>
      <c r="O208" s="49"/>
      <c r="Q208" s="28"/>
      <c r="R208" s="28"/>
      <c r="S208" s="28"/>
      <c r="T208" s="62"/>
      <c r="U208" s="67"/>
      <c r="V208" s="67"/>
      <c r="W208" s="67"/>
      <c r="X208" s="67"/>
    </row>
    <row r="209" spans="1:24" x14ac:dyDescent="0.2">
      <c r="A209" s="49"/>
      <c r="B209" s="59"/>
      <c r="C209" s="60"/>
      <c r="D209" s="60"/>
      <c r="E209" s="60"/>
      <c r="F209" s="60"/>
      <c r="G209" s="60"/>
      <c r="H209" s="60"/>
      <c r="I209" s="60"/>
      <c r="J209" s="60"/>
      <c r="K209" s="60"/>
      <c r="L209" s="60"/>
      <c r="M209" s="60"/>
      <c r="N209" s="60"/>
      <c r="O209" s="60"/>
      <c r="P209" s="60"/>
      <c r="Q209" s="60"/>
      <c r="R209" s="60"/>
      <c r="S209" s="60"/>
      <c r="T209" s="62"/>
      <c r="U209" s="67"/>
      <c r="V209" s="67"/>
      <c r="W209" s="67"/>
      <c r="X209" s="67"/>
    </row>
    <row r="210" spans="1:24" x14ac:dyDescent="0.2">
      <c r="A210" s="43"/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9"/>
      <c r="Q210" s="28"/>
      <c r="R210" s="28"/>
      <c r="S210" s="28"/>
      <c r="T210" s="62"/>
      <c r="U210" s="67"/>
      <c r="V210" s="67"/>
      <c r="W210" s="67"/>
      <c r="X210" s="67"/>
    </row>
    <row r="211" spans="1:24" x14ac:dyDescent="0.2">
      <c r="A211" s="49"/>
      <c r="B211" s="73"/>
      <c r="C211" s="73"/>
      <c r="D211" s="73"/>
      <c r="E211" s="73"/>
      <c r="F211" s="73"/>
      <c r="G211" s="73"/>
      <c r="H211" s="73"/>
      <c r="I211" s="73"/>
      <c r="J211" s="73"/>
      <c r="K211" s="73"/>
      <c r="L211" s="73"/>
      <c r="M211" s="73"/>
      <c r="N211" s="73"/>
      <c r="O211" s="49"/>
    </row>
    <row r="212" spans="1:24" x14ac:dyDescent="0.2">
      <c r="A212" s="49"/>
      <c r="B212" s="73"/>
      <c r="C212" s="73"/>
      <c r="D212" s="73"/>
      <c r="E212" s="73"/>
      <c r="F212" s="73"/>
      <c r="G212" s="73"/>
      <c r="H212" s="73"/>
      <c r="I212" s="73"/>
      <c r="J212" s="73"/>
      <c r="K212" s="73"/>
      <c r="L212" s="73"/>
      <c r="M212" s="73"/>
      <c r="N212" s="73"/>
      <c r="O212" s="49"/>
    </row>
    <row r="213" spans="1:24" x14ac:dyDescent="0.2">
      <c r="A213" s="49"/>
      <c r="B213" s="73"/>
      <c r="C213" s="73"/>
      <c r="D213" s="73"/>
      <c r="E213" s="73"/>
      <c r="F213" s="73"/>
      <c r="G213" s="73"/>
      <c r="H213" s="73"/>
      <c r="I213" s="73"/>
      <c r="J213" s="73"/>
      <c r="K213" s="73"/>
      <c r="L213" s="73"/>
      <c r="M213" s="73"/>
      <c r="N213" s="73"/>
      <c r="O213" s="49"/>
    </row>
    <row r="214" spans="1:24" x14ac:dyDescent="0.2">
      <c r="A214" s="49"/>
      <c r="B214" s="73"/>
      <c r="C214" s="73"/>
      <c r="D214" s="73"/>
      <c r="E214" s="73"/>
      <c r="F214" s="73"/>
      <c r="G214" s="73"/>
      <c r="H214" s="73"/>
      <c r="I214" s="73"/>
      <c r="J214" s="73"/>
      <c r="K214" s="73"/>
      <c r="L214" s="73"/>
      <c r="M214" s="73"/>
      <c r="N214" s="73"/>
      <c r="O214" s="49"/>
    </row>
    <row r="215" spans="1:24" x14ac:dyDescent="0.2">
      <c r="A215" s="49"/>
      <c r="B215" s="73"/>
      <c r="C215" s="73"/>
      <c r="D215" s="73"/>
      <c r="E215" s="73"/>
      <c r="F215" s="73"/>
      <c r="G215" s="73"/>
      <c r="H215" s="73"/>
      <c r="I215" s="73"/>
      <c r="J215" s="73"/>
      <c r="K215" s="73"/>
      <c r="L215" s="73"/>
      <c r="M215" s="73"/>
      <c r="N215" s="73"/>
      <c r="O215" s="49"/>
    </row>
    <row r="216" spans="1:24" x14ac:dyDescent="0.2">
      <c r="A216" s="49"/>
      <c r="B216" s="73"/>
      <c r="C216" s="73"/>
      <c r="D216" s="73"/>
      <c r="E216" s="73"/>
      <c r="F216" s="73"/>
      <c r="G216" s="73"/>
      <c r="H216" s="73"/>
      <c r="I216" s="73"/>
      <c r="J216" s="73"/>
      <c r="K216" s="73"/>
      <c r="L216" s="73"/>
      <c r="M216" s="73"/>
      <c r="N216" s="73"/>
      <c r="O216" s="49"/>
    </row>
    <row r="217" spans="1:24" x14ac:dyDescent="0.2">
      <c r="A217" s="49"/>
      <c r="B217" s="73"/>
      <c r="C217" s="73"/>
      <c r="D217" s="73"/>
      <c r="E217" s="73"/>
      <c r="F217" s="73"/>
      <c r="G217" s="73"/>
      <c r="H217" s="73"/>
      <c r="I217" s="73"/>
      <c r="J217" s="73"/>
      <c r="K217" s="73"/>
      <c r="L217" s="73"/>
      <c r="M217" s="73"/>
      <c r="N217" s="73"/>
      <c r="O217" s="49"/>
    </row>
    <row r="218" spans="1:24" x14ac:dyDescent="0.2">
      <c r="A218" s="49"/>
      <c r="B218" s="73"/>
      <c r="C218" s="73"/>
      <c r="D218" s="73"/>
      <c r="E218" s="73"/>
      <c r="F218" s="73"/>
      <c r="G218" s="73"/>
      <c r="H218" s="73"/>
      <c r="I218" s="73"/>
      <c r="J218" s="73"/>
      <c r="K218" s="73"/>
      <c r="L218" s="73"/>
      <c r="M218" s="73"/>
      <c r="N218" s="73"/>
      <c r="O218" s="49"/>
    </row>
    <row r="219" spans="1:24" x14ac:dyDescent="0.2">
      <c r="A219" s="49"/>
      <c r="B219" s="73"/>
      <c r="C219" s="73"/>
      <c r="D219" s="73"/>
      <c r="E219" s="73"/>
      <c r="F219" s="73"/>
      <c r="G219" s="73"/>
      <c r="H219" s="73"/>
      <c r="I219" s="73"/>
      <c r="J219" s="73"/>
      <c r="K219" s="73"/>
      <c r="L219" s="73"/>
      <c r="M219" s="73"/>
      <c r="N219" s="73"/>
      <c r="O219" s="49"/>
    </row>
    <row r="220" spans="1:24" x14ac:dyDescent="0.2">
      <c r="A220" s="49"/>
      <c r="B220" s="73"/>
      <c r="C220" s="73"/>
      <c r="D220" s="73"/>
      <c r="E220" s="73"/>
      <c r="F220" s="73"/>
      <c r="G220" s="73"/>
      <c r="H220" s="73"/>
      <c r="I220" s="73"/>
      <c r="J220" s="73"/>
      <c r="K220" s="73"/>
      <c r="L220" s="73"/>
      <c r="M220" s="73"/>
      <c r="N220" s="73"/>
      <c r="O220" s="49"/>
    </row>
    <row r="221" spans="1:24" x14ac:dyDescent="0.2">
      <c r="A221" s="49"/>
      <c r="B221" s="73"/>
      <c r="C221" s="73"/>
      <c r="D221" s="73"/>
      <c r="E221" s="73"/>
      <c r="F221" s="73"/>
      <c r="G221" s="73"/>
      <c r="H221" s="73"/>
      <c r="I221" s="73"/>
      <c r="J221" s="73"/>
      <c r="K221" s="73"/>
      <c r="L221" s="73"/>
      <c r="M221" s="73"/>
      <c r="N221" s="73"/>
      <c r="O221" s="49"/>
    </row>
    <row r="222" spans="1:24" x14ac:dyDescent="0.2">
      <c r="A222" s="49"/>
      <c r="B222" s="73"/>
      <c r="C222" s="73"/>
      <c r="D222" s="73"/>
      <c r="E222" s="73"/>
      <c r="F222" s="73"/>
      <c r="G222" s="73"/>
      <c r="H222" s="73"/>
      <c r="I222" s="73"/>
      <c r="J222" s="73"/>
      <c r="K222" s="73"/>
      <c r="L222" s="73"/>
      <c r="M222" s="73"/>
      <c r="N222" s="73"/>
      <c r="O222" s="49"/>
    </row>
    <row r="223" spans="1:24" x14ac:dyDescent="0.2">
      <c r="A223" s="49"/>
      <c r="B223" s="73"/>
      <c r="C223" s="73"/>
      <c r="D223" s="73"/>
      <c r="E223" s="73"/>
      <c r="F223" s="73"/>
      <c r="G223" s="73"/>
      <c r="H223" s="73"/>
      <c r="I223" s="73"/>
      <c r="J223" s="73"/>
      <c r="K223" s="73"/>
      <c r="L223" s="73"/>
      <c r="M223" s="73"/>
      <c r="N223" s="73"/>
      <c r="O223" s="49"/>
    </row>
    <row r="224" spans="1:24" x14ac:dyDescent="0.2">
      <c r="A224" s="49"/>
      <c r="B224" s="73"/>
      <c r="C224" s="73"/>
      <c r="D224" s="73"/>
      <c r="E224" s="73"/>
      <c r="F224" s="73"/>
      <c r="G224" s="73"/>
      <c r="H224" s="73"/>
      <c r="I224" s="73"/>
      <c r="J224" s="73"/>
      <c r="K224" s="73"/>
      <c r="L224" s="73"/>
      <c r="M224" s="73"/>
      <c r="N224" s="73"/>
      <c r="O224" s="49"/>
    </row>
    <row r="225" spans="1:19" x14ac:dyDescent="0.2">
      <c r="A225" s="49"/>
      <c r="B225" s="73"/>
      <c r="C225" s="73"/>
      <c r="D225" s="73"/>
      <c r="E225" s="73"/>
      <c r="F225" s="73"/>
      <c r="G225" s="73"/>
      <c r="H225" s="73"/>
      <c r="I225" s="73"/>
      <c r="J225" s="73"/>
      <c r="K225" s="73"/>
      <c r="L225" s="73"/>
      <c r="M225" s="73"/>
      <c r="N225" s="73"/>
      <c r="O225" s="49"/>
    </row>
    <row r="226" spans="1:19" x14ac:dyDescent="0.2">
      <c r="A226" s="49"/>
      <c r="B226" s="73"/>
      <c r="C226" s="73"/>
      <c r="D226" s="73"/>
      <c r="E226" s="73"/>
      <c r="F226" s="73"/>
      <c r="G226" s="73"/>
      <c r="H226" s="73"/>
      <c r="I226" s="73"/>
      <c r="J226" s="73"/>
      <c r="K226" s="73"/>
      <c r="L226" s="73"/>
      <c r="M226" s="73"/>
      <c r="N226" s="73"/>
      <c r="O226" s="49"/>
    </row>
    <row r="227" spans="1:19" x14ac:dyDescent="0.2">
      <c r="A227" s="49"/>
      <c r="B227" s="73"/>
      <c r="C227" s="73"/>
      <c r="D227" s="73"/>
      <c r="E227" s="73"/>
      <c r="F227" s="73"/>
      <c r="G227" s="73"/>
      <c r="H227" s="73"/>
      <c r="I227" s="73"/>
      <c r="J227" s="73"/>
      <c r="K227" s="73"/>
      <c r="L227" s="73"/>
      <c r="M227" s="73"/>
      <c r="N227" s="73"/>
      <c r="O227" s="49"/>
    </row>
    <row r="228" spans="1:19" x14ac:dyDescent="0.2">
      <c r="A228" s="43"/>
      <c r="B228" s="74"/>
      <c r="C228" s="74"/>
      <c r="D228" s="74"/>
      <c r="E228" s="74"/>
      <c r="F228" s="74"/>
      <c r="G228" s="74"/>
      <c r="H228" s="74"/>
      <c r="I228" s="74"/>
      <c r="J228" s="74"/>
      <c r="K228" s="74"/>
      <c r="L228" s="74"/>
      <c r="M228" s="74"/>
      <c r="N228" s="74"/>
      <c r="O228" s="74"/>
      <c r="P228" s="74"/>
      <c r="Q228" s="28"/>
      <c r="R228" s="28"/>
      <c r="S228" s="28"/>
    </row>
    <row r="229" spans="1:19" x14ac:dyDescent="0.2">
      <c r="A229" s="45"/>
      <c r="B229" s="46"/>
      <c r="C229" s="46"/>
      <c r="D229" s="46"/>
      <c r="E229" s="46"/>
      <c r="F229" s="46"/>
      <c r="G229" s="46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</row>
    <row r="230" spans="1:19" x14ac:dyDescent="0.2">
      <c r="A230" s="43"/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28"/>
      <c r="R230" s="28"/>
      <c r="S230" s="28"/>
    </row>
    <row r="231" spans="1:19" x14ac:dyDescent="0.2">
      <c r="A231" s="43" t="s">
        <v>29</v>
      </c>
      <c r="B231" s="51">
        <v>2932.13</v>
      </c>
      <c r="C231" s="51">
        <v>87.05</v>
      </c>
      <c r="D231" s="51">
        <v>149.85</v>
      </c>
      <c r="E231" s="51">
        <v>140.30799999999999</v>
      </c>
      <c r="F231" s="51">
        <v>140.84100000000001</v>
      </c>
      <c r="G231" s="51">
        <v>1775.89</v>
      </c>
      <c r="H231" s="51">
        <v>-1329.8</v>
      </c>
      <c r="I231" s="51">
        <v>-1229.0899999999999</v>
      </c>
      <c r="J231" s="51">
        <v>1136.02</v>
      </c>
      <c r="K231" s="51">
        <v>1673.68</v>
      </c>
      <c r="L231" s="51">
        <v>137.25399999999999</v>
      </c>
      <c r="M231" s="51"/>
      <c r="N231" s="51">
        <v>0.51100000000000001</v>
      </c>
      <c r="O231" s="51">
        <v>94.875</v>
      </c>
      <c r="P231" s="51">
        <v>-4.3099999999999999E-2</v>
      </c>
      <c r="Q231" s="28"/>
      <c r="R231" s="28"/>
      <c r="S231" s="28"/>
    </row>
    <row r="232" spans="1:19" x14ac:dyDescent="0.2">
      <c r="A232" s="45"/>
      <c r="B232" s="46">
        <f>[15]Доклад!E$22</f>
        <v>989</v>
      </c>
      <c r="C232" s="46">
        <f>(B232-B231)/10*P231+C231</f>
        <v>95.424890300000001</v>
      </c>
      <c r="D232" s="46"/>
      <c r="E232" s="46"/>
      <c r="F232" s="46"/>
      <c r="G232" s="47">
        <f>(B232-B231)*COS(C232*PI()/180)+G231</f>
        <v>1959.59505333795</v>
      </c>
      <c r="H232" s="48"/>
      <c r="I232" s="48"/>
      <c r="J232" s="48"/>
      <c r="K232" s="48"/>
      <c r="L232" s="49"/>
      <c r="M232" s="48"/>
      <c r="N232" s="48"/>
      <c r="O232" s="48"/>
      <c r="P232" s="48"/>
      <c r="Q232" s="28"/>
      <c r="R232" s="28"/>
      <c r="S232" s="28"/>
    </row>
    <row r="233" spans="1:19" x14ac:dyDescent="0.2">
      <c r="A233" s="43">
        <v>1</v>
      </c>
      <c r="B233" s="48">
        <f>A233+1</f>
        <v>2</v>
      </c>
      <c r="C233" s="48">
        <f t="shared" ref="C233:R233" si="2">B233+1</f>
        <v>3</v>
      </c>
      <c r="D233" s="48">
        <f t="shared" si="2"/>
        <v>4</v>
      </c>
      <c r="E233" s="48">
        <f t="shared" si="2"/>
        <v>5</v>
      </c>
      <c r="F233" s="48">
        <f t="shared" si="2"/>
        <v>6</v>
      </c>
      <c r="G233" s="48">
        <f t="shared" si="2"/>
        <v>7</v>
      </c>
      <c r="H233" s="48">
        <f t="shared" si="2"/>
        <v>8</v>
      </c>
      <c r="I233" s="48">
        <f t="shared" si="2"/>
        <v>9</v>
      </c>
      <c r="J233" s="48">
        <f t="shared" si="2"/>
        <v>10</v>
      </c>
      <c r="K233" s="48">
        <f t="shared" si="2"/>
        <v>11</v>
      </c>
      <c r="L233" s="48">
        <f t="shared" si="2"/>
        <v>12</v>
      </c>
      <c r="M233" s="48">
        <f t="shared" si="2"/>
        <v>13</v>
      </c>
      <c r="N233" s="48">
        <f t="shared" si="2"/>
        <v>14</v>
      </c>
      <c r="O233" s="48">
        <f t="shared" si="2"/>
        <v>15</v>
      </c>
      <c r="P233" s="48">
        <f t="shared" si="2"/>
        <v>16</v>
      </c>
      <c r="Q233" s="48">
        <f t="shared" si="2"/>
        <v>17</v>
      </c>
      <c r="R233" s="48">
        <f t="shared" si="2"/>
        <v>18</v>
      </c>
      <c r="S233" s="28"/>
    </row>
    <row r="234" spans="1:19" ht="13.5" thickBot="1" x14ac:dyDescent="0.25">
      <c r="A234" s="43"/>
      <c r="B234" s="48"/>
      <c r="C234" s="48"/>
      <c r="D234" s="48"/>
      <c r="E234" s="48"/>
      <c r="F234" s="48"/>
      <c r="G234" s="47"/>
      <c r="H234" s="48"/>
      <c r="I234" s="48"/>
      <c r="J234" s="48"/>
      <c r="K234" s="48"/>
      <c r="L234" s="48"/>
      <c r="M234" s="48"/>
      <c r="N234" s="48"/>
      <c r="O234" s="48"/>
      <c r="P234" s="48"/>
      <c r="Q234" s="28"/>
      <c r="R234" s="28"/>
      <c r="S234" s="28"/>
    </row>
    <row r="235" spans="1:19" ht="13.5" thickBot="1" x14ac:dyDescent="0.25">
      <c r="A235" s="43"/>
      <c r="B235" s="48"/>
      <c r="C235" s="48"/>
      <c r="D235" s="48"/>
      <c r="E235" s="48"/>
      <c r="F235" s="48"/>
      <c r="G235" s="52"/>
      <c r="H235" s="52"/>
      <c r="I235" s="48"/>
      <c r="J235" s="48"/>
      <c r="K235" s="48"/>
      <c r="L235" s="48"/>
      <c r="M235" s="48"/>
      <c r="N235" s="48"/>
      <c r="O235" s="48"/>
      <c r="P235" s="48"/>
      <c r="Q235" s="28"/>
      <c r="R235" s="28"/>
      <c r="S235" s="56"/>
    </row>
    <row r="236" spans="1:19" ht="13.5" thickBot="1" x14ac:dyDescent="0.25">
      <c r="A236" s="43"/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9"/>
      <c r="Q236" s="28"/>
      <c r="R236" s="28"/>
      <c r="S236" s="58"/>
    </row>
    <row r="237" spans="1:19" ht="13.5" thickBot="1" x14ac:dyDescent="0.25">
      <c r="A237" s="45"/>
      <c r="B237" s="46"/>
      <c r="C237" s="46"/>
      <c r="D237" s="46"/>
      <c r="E237" s="46"/>
      <c r="F237" s="46"/>
      <c r="G237" s="48"/>
      <c r="H237" s="48"/>
      <c r="I237" s="48"/>
      <c r="J237" s="48"/>
      <c r="K237" s="48"/>
      <c r="L237" s="48"/>
      <c r="M237" s="48"/>
      <c r="N237" s="48"/>
      <c r="O237" s="49"/>
      <c r="Q237" s="28"/>
      <c r="R237" s="28"/>
      <c r="S237" s="56"/>
    </row>
    <row r="238" spans="1:19" ht="13.5" thickBot="1" x14ac:dyDescent="0.25">
      <c r="A238" s="49"/>
      <c r="B238" s="59"/>
      <c r="C238" s="60"/>
      <c r="D238" s="60"/>
      <c r="E238" s="60"/>
      <c r="F238" s="60"/>
      <c r="G238" s="60"/>
      <c r="H238" s="60"/>
      <c r="I238" s="60"/>
      <c r="J238" s="60"/>
      <c r="K238" s="60"/>
      <c r="L238" s="60"/>
      <c r="M238" s="60"/>
      <c r="N238" s="61"/>
      <c r="O238" s="49"/>
      <c r="Q238" s="23"/>
      <c r="R238" s="55"/>
      <c r="S238" s="58"/>
    </row>
    <row r="239" spans="1:19" ht="13.5" thickBot="1" x14ac:dyDescent="0.25">
      <c r="A239" s="45"/>
      <c r="B239" s="46"/>
      <c r="C239" s="46"/>
      <c r="D239" s="46"/>
      <c r="E239" s="46"/>
      <c r="F239" s="46"/>
      <c r="G239" s="60"/>
      <c r="H239" s="60"/>
      <c r="I239" s="60"/>
      <c r="J239" s="60"/>
      <c r="K239" s="60"/>
      <c r="L239" s="60"/>
      <c r="M239" s="60"/>
      <c r="N239" s="60"/>
      <c r="O239" s="49"/>
      <c r="Q239" s="46"/>
      <c r="R239" s="46"/>
      <c r="S239" s="58"/>
    </row>
    <row r="240" spans="1:19" ht="39" thickBot="1" x14ac:dyDescent="0.25">
      <c r="A240" s="49"/>
      <c r="B240" s="54" t="s">
        <v>14</v>
      </c>
      <c r="C240" s="23" t="s">
        <v>15</v>
      </c>
      <c r="D240" s="23" t="s">
        <v>16</v>
      </c>
      <c r="E240" s="23" t="s">
        <v>31</v>
      </c>
      <c r="F240" s="23" t="s">
        <v>17</v>
      </c>
      <c r="G240" s="23" t="s">
        <v>18</v>
      </c>
      <c r="H240" s="23" t="s">
        <v>19</v>
      </c>
      <c r="I240" s="23" t="s">
        <v>20</v>
      </c>
      <c r="J240" s="23" t="s">
        <v>21</v>
      </c>
      <c r="K240" s="23" t="s">
        <v>32</v>
      </c>
      <c r="L240" s="23" t="s">
        <v>33</v>
      </c>
      <c r="M240" s="23" t="s">
        <v>22</v>
      </c>
      <c r="N240" s="23" t="s">
        <v>23</v>
      </c>
      <c r="O240" s="23" t="s">
        <v>22</v>
      </c>
      <c r="P240" s="23" t="s">
        <v>24</v>
      </c>
      <c r="Q240" s="23" t="s">
        <v>25</v>
      </c>
      <c r="R240" s="55" t="s">
        <v>26</v>
      </c>
      <c r="S240" s="28"/>
    </row>
    <row r="241" spans="1:19" x14ac:dyDescent="0.2">
      <c r="A241" s="49"/>
      <c r="B241" s="57">
        <v>2930</v>
      </c>
      <c r="C241" s="57">
        <v>87.7</v>
      </c>
      <c r="D241" s="57">
        <v>146.32</v>
      </c>
      <c r="E241" s="57">
        <v>136.77699999999999</v>
      </c>
      <c r="F241" s="57">
        <v>137.31100000000001</v>
      </c>
      <c r="G241" s="57">
        <v>1768.28</v>
      </c>
      <c r="H241" s="57">
        <v>-1322.19</v>
      </c>
      <c r="I241" s="57">
        <v>-1229.82</v>
      </c>
      <c r="J241" s="57">
        <v>1134.42</v>
      </c>
      <c r="K241" s="57">
        <v>6721151.6100000003</v>
      </c>
      <c r="L241" s="57">
        <v>534687.67000000004</v>
      </c>
      <c r="M241" s="57">
        <v>1673.13</v>
      </c>
      <c r="N241" s="57">
        <v>137.31100000000001</v>
      </c>
      <c r="O241" s="57"/>
      <c r="P241" s="57">
        <v>0</v>
      </c>
      <c r="Q241" s="57">
        <v>0</v>
      </c>
      <c r="R241" s="57">
        <v>0</v>
      </c>
      <c r="S241" s="60"/>
    </row>
    <row r="242" spans="1:19" x14ac:dyDescent="0.2">
      <c r="A242" s="49"/>
      <c r="B242" s="57">
        <v>2940</v>
      </c>
      <c r="C242" s="57">
        <v>87.7</v>
      </c>
      <c r="D242" s="57">
        <v>146.32</v>
      </c>
      <c r="E242" s="57">
        <v>136.77699999999999</v>
      </c>
      <c r="F242" s="57">
        <v>137.31100000000001</v>
      </c>
      <c r="G242" s="57">
        <v>1768.68</v>
      </c>
      <c r="H242" s="57">
        <v>-1322.59</v>
      </c>
      <c r="I242" s="57">
        <v>-1237.17</v>
      </c>
      <c r="J242" s="57">
        <v>1141.2</v>
      </c>
      <c r="K242" s="57">
        <v>6721144.3300000001</v>
      </c>
      <c r="L242" s="57">
        <v>534694.52</v>
      </c>
      <c r="M242" s="57">
        <v>1683.13</v>
      </c>
      <c r="N242" s="57">
        <v>137.31100000000001</v>
      </c>
      <c r="O242" s="57"/>
      <c r="P242" s="57">
        <v>0</v>
      </c>
      <c r="Q242" s="57">
        <v>0</v>
      </c>
      <c r="R242" s="57">
        <v>0</v>
      </c>
    </row>
    <row r="243" spans="1:19" x14ac:dyDescent="0.2">
      <c r="A243" s="49"/>
      <c r="B243" s="59"/>
      <c r="C243" s="60"/>
      <c r="D243" s="60"/>
      <c r="E243" s="60"/>
      <c r="F243" s="60"/>
      <c r="G243" s="60"/>
      <c r="H243" s="60"/>
      <c r="I243" s="60"/>
      <c r="J243" s="60"/>
      <c r="K243" s="60"/>
      <c r="L243" s="60"/>
      <c r="M243" s="60"/>
      <c r="N243" s="61"/>
      <c r="O243" s="49"/>
      <c r="Q243" s="28"/>
      <c r="R243" s="28"/>
    </row>
    <row r="244" spans="1:19" x14ac:dyDescent="0.2">
      <c r="A244" s="49" t="s">
        <v>34</v>
      </c>
      <c r="B244" s="59">
        <f>VLOOKUP("Последний замер",A152:P1306,2)</f>
        <v>2932.13</v>
      </c>
      <c r="C244" s="60">
        <f>(C242-C241)/($B242-$B241)*($B244-$B241)+C241</f>
        <v>87.7</v>
      </c>
      <c r="D244" s="60">
        <f t="shared" ref="D244:R244" si="3">(D242-D241)/($B242-$B241)*($B244-$B241)+D241</f>
        <v>146.32</v>
      </c>
      <c r="E244" s="60">
        <f t="shared" si="3"/>
        <v>136.77699999999999</v>
      </c>
      <c r="F244" s="60">
        <f t="shared" si="3"/>
        <v>137.31100000000001</v>
      </c>
      <c r="G244" s="60">
        <f t="shared" si="3"/>
        <v>1768.3652</v>
      </c>
      <c r="H244" s="60">
        <f t="shared" si="3"/>
        <v>-1322.2752</v>
      </c>
      <c r="I244" s="60">
        <f t="shared" si="3"/>
        <v>-1231.38555</v>
      </c>
      <c r="J244" s="60">
        <f t="shared" si="3"/>
        <v>1135.8641400000001</v>
      </c>
      <c r="K244" s="60">
        <f t="shared" si="3"/>
        <v>6721150.0593600003</v>
      </c>
      <c r="L244" s="60">
        <f t="shared" si="3"/>
        <v>534689.12904999999</v>
      </c>
      <c r="M244" s="60">
        <f t="shared" si="3"/>
        <v>1675.2600000000002</v>
      </c>
      <c r="N244" s="60">
        <f t="shared" si="3"/>
        <v>137.31100000000001</v>
      </c>
      <c r="O244" s="60">
        <f t="shared" si="3"/>
        <v>0</v>
      </c>
      <c r="P244" s="60">
        <f t="shared" si="3"/>
        <v>0</v>
      </c>
      <c r="Q244" s="60">
        <f t="shared" si="3"/>
        <v>0</v>
      </c>
      <c r="R244" s="60">
        <f t="shared" si="3"/>
        <v>0</v>
      </c>
    </row>
    <row r="245" spans="1:19" x14ac:dyDescent="0.2">
      <c r="A245" s="45"/>
      <c r="B245" s="46"/>
      <c r="C245" s="46"/>
      <c r="D245" s="46"/>
      <c r="E245" s="46"/>
      <c r="F245" s="46"/>
      <c r="G245" s="48"/>
      <c r="H245" s="48"/>
      <c r="I245" s="48"/>
      <c r="J245" s="48"/>
      <c r="K245" s="48"/>
      <c r="L245" s="48"/>
      <c r="M245" s="48"/>
      <c r="N245" s="48"/>
      <c r="O245" s="49"/>
      <c r="Q245" s="28"/>
      <c r="R245" s="28"/>
    </row>
    <row r="246" spans="1:19" x14ac:dyDescent="0.2">
      <c r="A246" s="49"/>
      <c r="B246" s="73"/>
      <c r="C246" s="73"/>
      <c r="D246" s="73"/>
      <c r="E246" s="73"/>
      <c r="F246" s="73"/>
      <c r="G246" s="73"/>
      <c r="H246" s="73"/>
      <c r="I246" s="73"/>
      <c r="J246" s="73"/>
      <c r="K246" s="73"/>
      <c r="L246" s="73"/>
      <c r="M246" s="73"/>
      <c r="N246" s="73"/>
      <c r="O246" s="49"/>
    </row>
    <row r="247" spans="1:19" x14ac:dyDescent="0.2">
      <c r="A247" s="49"/>
      <c r="B247" s="73"/>
      <c r="C247" s="73"/>
      <c r="D247" s="73"/>
      <c r="E247" s="73"/>
      <c r="F247" s="73"/>
      <c r="G247" s="73"/>
      <c r="H247" s="73"/>
      <c r="I247" s="73"/>
      <c r="J247" s="73"/>
      <c r="K247" s="73"/>
      <c r="L247" s="73"/>
      <c r="M247" s="73"/>
      <c r="N247" s="73"/>
      <c r="O247" s="49"/>
    </row>
    <row r="248" spans="1:19" x14ac:dyDescent="0.2">
      <c r="A248" s="49"/>
      <c r="B248" s="73"/>
      <c r="C248" s="73"/>
      <c r="D248" s="73"/>
      <c r="E248" s="73"/>
      <c r="F248" s="73"/>
      <c r="G248" s="73"/>
      <c r="H248" s="73"/>
      <c r="I248" s="73"/>
      <c r="J248" s="73"/>
      <c r="K248" s="73"/>
      <c r="L248" s="73"/>
      <c r="M248" s="73"/>
      <c r="N248" s="73"/>
      <c r="O248" s="49"/>
    </row>
    <row r="249" spans="1:19" x14ac:dyDescent="0.2">
      <c r="A249" s="49"/>
      <c r="B249" s="73"/>
      <c r="C249" s="73"/>
      <c r="D249" s="73"/>
      <c r="E249" s="73"/>
      <c r="F249" s="73"/>
      <c r="G249" s="73"/>
      <c r="H249" s="73"/>
      <c r="I249" s="73"/>
      <c r="J249" s="73"/>
      <c r="K249" s="73"/>
      <c r="L249" s="73"/>
      <c r="M249" s="73"/>
      <c r="N249" s="73"/>
      <c r="O249" s="49"/>
    </row>
    <row r="250" spans="1:19" x14ac:dyDescent="0.2">
      <c r="A250" s="49"/>
      <c r="B250" s="73"/>
      <c r="C250" s="73"/>
      <c r="D250" s="73"/>
      <c r="E250" s="73"/>
      <c r="F250" s="73"/>
      <c r="G250" s="73"/>
      <c r="H250" s="73"/>
      <c r="I250" s="73"/>
      <c r="J250" s="73"/>
      <c r="K250" s="73"/>
      <c r="L250" s="73"/>
      <c r="M250" s="73"/>
      <c r="N250" s="73"/>
      <c r="O250" s="49"/>
    </row>
    <row r="251" spans="1:19" x14ac:dyDescent="0.2">
      <c r="A251" s="49"/>
      <c r="B251" s="73"/>
      <c r="C251" s="73"/>
      <c r="D251" s="73"/>
      <c r="E251" s="73"/>
      <c r="F251" s="73"/>
      <c r="G251" s="73"/>
      <c r="H251" s="73"/>
      <c r="I251" s="73"/>
      <c r="J251" s="73"/>
      <c r="K251" s="73"/>
      <c r="L251" s="73"/>
      <c r="M251" s="73"/>
      <c r="N251" s="73"/>
      <c r="O251" s="49"/>
    </row>
    <row r="252" spans="1:19" x14ac:dyDescent="0.2">
      <c r="A252" s="49"/>
      <c r="B252" s="73"/>
      <c r="C252" s="73"/>
      <c r="D252" s="73"/>
      <c r="E252" s="73"/>
      <c r="F252" s="73"/>
      <c r="G252" s="73"/>
      <c r="H252" s="73"/>
      <c r="I252" s="73"/>
      <c r="J252" s="73"/>
      <c r="K252" s="73"/>
      <c r="L252" s="73"/>
      <c r="M252" s="73"/>
      <c r="N252" s="73"/>
      <c r="O252" s="49"/>
    </row>
    <row r="253" spans="1:19" x14ac:dyDescent="0.2">
      <c r="A253" s="49"/>
      <c r="B253" s="73"/>
      <c r="C253" s="73"/>
      <c r="D253" s="73"/>
      <c r="E253" s="73"/>
      <c r="F253" s="73"/>
      <c r="G253" s="73"/>
      <c r="H253" s="73"/>
      <c r="I253" s="73"/>
      <c r="J253" s="73"/>
      <c r="K253" s="73"/>
      <c r="L253" s="73"/>
      <c r="M253" s="73"/>
      <c r="N253" s="73"/>
      <c r="O253" s="49"/>
    </row>
    <row r="254" spans="1:19" x14ac:dyDescent="0.2">
      <c r="A254" s="49"/>
      <c r="B254" s="73"/>
      <c r="C254" s="73"/>
      <c r="D254" s="73"/>
      <c r="E254" s="73"/>
      <c r="F254" s="73"/>
      <c r="G254" s="73"/>
      <c r="H254" s="73"/>
      <c r="I254" s="73"/>
      <c r="J254" s="73"/>
      <c r="K254" s="73"/>
      <c r="L254" s="73"/>
      <c r="M254" s="73"/>
      <c r="N254" s="73"/>
      <c r="O254" s="49"/>
    </row>
    <row r="255" spans="1:19" x14ac:dyDescent="0.2">
      <c r="A255" s="49"/>
      <c r="B255" s="73"/>
      <c r="C255" s="73"/>
      <c r="D255" s="73"/>
      <c r="E255" s="73"/>
      <c r="F255" s="73"/>
      <c r="G255" s="73"/>
      <c r="H255" s="73"/>
      <c r="I255" s="73"/>
      <c r="J255" s="73"/>
      <c r="K255" s="73"/>
      <c r="L255" s="73"/>
      <c r="M255" s="73"/>
      <c r="N255" s="73"/>
      <c r="O255" s="49"/>
    </row>
    <row r="256" spans="1:19" x14ac:dyDescent="0.2">
      <c r="A256" s="49"/>
      <c r="B256" s="73"/>
      <c r="C256" s="73"/>
      <c r="D256" s="73"/>
      <c r="E256" s="73"/>
      <c r="F256" s="73"/>
      <c r="G256" s="73"/>
      <c r="H256" s="73"/>
      <c r="I256" s="73"/>
      <c r="J256" s="73"/>
      <c r="K256" s="73"/>
      <c r="L256" s="73"/>
      <c r="M256" s="73"/>
      <c r="N256" s="73"/>
      <c r="O256" s="49"/>
    </row>
    <row r="257" spans="1:15" x14ac:dyDescent="0.2">
      <c r="A257" s="49"/>
      <c r="B257" s="73"/>
      <c r="C257" s="73"/>
      <c r="D257" s="73"/>
      <c r="E257" s="73"/>
      <c r="F257" s="73"/>
      <c r="G257" s="73"/>
      <c r="H257" s="73"/>
      <c r="I257" s="73"/>
      <c r="J257" s="73"/>
      <c r="K257" s="73"/>
      <c r="L257" s="73"/>
      <c r="M257" s="73"/>
      <c r="N257" s="73"/>
      <c r="O257" s="49"/>
    </row>
    <row r="258" spans="1:15" x14ac:dyDescent="0.2">
      <c r="A258" s="49"/>
      <c r="B258" s="73"/>
      <c r="C258" s="73"/>
      <c r="D258" s="73"/>
      <c r="E258" s="73"/>
      <c r="F258" s="73"/>
      <c r="G258" s="73"/>
      <c r="H258" s="73"/>
      <c r="I258" s="73"/>
      <c r="J258" s="73"/>
      <c r="K258" s="73"/>
      <c r="L258" s="73"/>
      <c r="M258" s="73"/>
      <c r="N258" s="73"/>
      <c r="O258" s="49"/>
    </row>
    <row r="259" spans="1:15" x14ac:dyDescent="0.2">
      <c r="A259" s="49"/>
      <c r="B259" s="73"/>
      <c r="C259" s="73"/>
      <c r="D259" s="73"/>
      <c r="E259" s="73"/>
      <c r="F259" s="73"/>
      <c r="G259" s="73"/>
      <c r="H259" s="73"/>
      <c r="I259" s="73"/>
      <c r="J259" s="73"/>
      <c r="K259" s="73"/>
      <c r="L259" s="73"/>
      <c r="M259" s="73"/>
      <c r="N259" s="73"/>
      <c r="O259" s="49"/>
    </row>
    <row r="260" spans="1:15" x14ac:dyDescent="0.2">
      <c r="A260" s="49"/>
      <c r="B260" s="73"/>
      <c r="C260" s="73"/>
      <c r="D260" s="73"/>
      <c r="E260" s="73"/>
      <c r="F260" s="73"/>
      <c r="G260" s="73"/>
      <c r="H260" s="73"/>
      <c r="I260" s="73"/>
      <c r="J260" s="73"/>
      <c r="K260" s="73"/>
      <c r="L260" s="73"/>
      <c r="M260" s="73"/>
      <c r="N260" s="73"/>
      <c r="O260" s="49"/>
    </row>
    <row r="261" spans="1:15" x14ac:dyDescent="0.2">
      <c r="A261" s="49"/>
      <c r="B261" s="73"/>
      <c r="C261" s="73"/>
      <c r="D261" s="73"/>
      <c r="E261" s="73"/>
      <c r="F261" s="73"/>
      <c r="G261" s="73"/>
      <c r="H261" s="73"/>
      <c r="I261" s="73"/>
      <c r="J261" s="73"/>
      <c r="K261" s="73"/>
      <c r="L261" s="73"/>
      <c r="M261" s="73"/>
      <c r="N261" s="73"/>
      <c r="O261" s="49"/>
    </row>
    <row r="262" spans="1:15" x14ac:dyDescent="0.2">
      <c r="A262" s="49"/>
      <c r="B262" s="73"/>
      <c r="C262" s="73"/>
      <c r="D262" s="73"/>
      <c r="E262" s="73"/>
      <c r="F262" s="73"/>
      <c r="G262" s="73"/>
      <c r="H262" s="73"/>
      <c r="I262" s="73"/>
      <c r="J262" s="73"/>
      <c r="K262" s="73"/>
      <c r="L262" s="73"/>
      <c r="M262" s="73"/>
      <c r="N262" s="73"/>
      <c r="O262" s="49"/>
    </row>
    <row r="263" spans="1:15" x14ac:dyDescent="0.2">
      <c r="A263" s="49"/>
      <c r="B263" s="73"/>
      <c r="C263" s="73"/>
      <c r="D263" s="73"/>
      <c r="E263" s="73"/>
      <c r="F263" s="73"/>
      <c r="G263" s="73"/>
      <c r="H263" s="73"/>
      <c r="I263" s="73"/>
      <c r="J263" s="73"/>
      <c r="K263" s="73"/>
      <c r="L263" s="73"/>
      <c r="M263" s="73"/>
      <c r="N263" s="73"/>
      <c r="O263" s="49"/>
    </row>
    <row r="264" spans="1:15" x14ac:dyDescent="0.2">
      <c r="A264" s="49"/>
      <c r="B264" s="73"/>
      <c r="C264" s="73"/>
      <c r="D264" s="73"/>
      <c r="E264" s="73"/>
      <c r="F264" s="73"/>
      <c r="G264" s="73"/>
      <c r="H264" s="73"/>
      <c r="I264" s="73"/>
      <c r="J264" s="73"/>
      <c r="K264" s="73"/>
      <c r="L264" s="73"/>
      <c r="M264" s="73"/>
      <c r="N264" s="73"/>
      <c r="O264" s="49"/>
    </row>
    <row r="265" spans="1:15" x14ac:dyDescent="0.2">
      <c r="A265" s="49"/>
      <c r="B265" s="73"/>
      <c r="C265" s="73"/>
      <c r="D265" s="73"/>
      <c r="E265" s="73"/>
      <c r="F265" s="73"/>
      <c r="G265" s="73"/>
      <c r="H265" s="73"/>
      <c r="I265" s="73"/>
      <c r="J265" s="73"/>
      <c r="K265" s="73"/>
      <c r="L265" s="73"/>
      <c r="M265" s="73"/>
      <c r="N265" s="73"/>
      <c r="O265" s="49"/>
    </row>
    <row r="266" spans="1:15" x14ac:dyDescent="0.2">
      <c r="A266" s="49"/>
      <c r="B266" s="73"/>
      <c r="C266" s="73"/>
      <c r="D266" s="73"/>
      <c r="E266" s="73"/>
      <c r="F266" s="73"/>
      <c r="G266" s="73"/>
      <c r="H266" s="73"/>
      <c r="I266" s="73"/>
      <c r="J266" s="73"/>
      <c r="K266" s="73"/>
      <c r="L266" s="73"/>
      <c r="M266" s="73"/>
      <c r="N266" s="73"/>
      <c r="O266" s="49"/>
    </row>
    <row r="267" spans="1:15" x14ac:dyDescent="0.2">
      <c r="A267" s="49"/>
      <c r="B267" s="73"/>
      <c r="C267" s="73"/>
      <c r="D267" s="73"/>
      <c r="E267" s="73"/>
      <c r="F267" s="73"/>
      <c r="G267" s="73"/>
      <c r="H267" s="73"/>
      <c r="I267" s="73"/>
      <c r="J267" s="73"/>
      <c r="K267" s="73"/>
      <c r="L267" s="73"/>
      <c r="M267" s="73"/>
      <c r="N267" s="73"/>
      <c r="O267" s="49"/>
    </row>
    <row r="268" spans="1:15" x14ac:dyDescent="0.2">
      <c r="A268" s="49"/>
      <c r="B268" s="73"/>
      <c r="C268" s="73"/>
      <c r="D268" s="73"/>
      <c r="E268" s="73"/>
      <c r="F268" s="73"/>
      <c r="G268" s="73"/>
      <c r="H268" s="73"/>
      <c r="I268" s="73"/>
      <c r="J268" s="73"/>
      <c r="K268" s="73"/>
      <c r="L268" s="73"/>
      <c r="M268" s="73"/>
      <c r="N268" s="73"/>
      <c r="O268" s="49"/>
    </row>
    <row r="269" spans="1:15" x14ac:dyDescent="0.2">
      <c r="A269" s="49"/>
      <c r="B269" s="73"/>
      <c r="C269" s="73"/>
      <c r="D269" s="73"/>
      <c r="E269" s="73"/>
      <c r="F269" s="73"/>
      <c r="G269" s="73"/>
      <c r="H269" s="73"/>
      <c r="I269" s="73"/>
      <c r="J269" s="73"/>
      <c r="K269" s="73"/>
      <c r="L269" s="73"/>
      <c r="M269" s="73"/>
      <c r="N269" s="73"/>
      <c r="O269" s="49"/>
    </row>
    <row r="270" spans="1:15" x14ac:dyDescent="0.2">
      <c r="A270" s="49"/>
      <c r="B270" s="73"/>
      <c r="C270" s="73"/>
      <c r="D270" s="73"/>
      <c r="E270" s="73"/>
      <c r="F270" s="73"/>
      <c r="G270" s="73"/>
      <c r="H270" s="73"/>
      <c r="I270" s="73"/>
      <c r="J270" s="73"/>
      <c r="K270" s="73"/>
      <c r="L270" s="73"/>
      <c r="M270" s="73"/>
      <c r="N270" s="73"/>
      <c r="O270" s="49"/>
    </row>
    <row r="271" spans="1:15" x14ac:dyDescent="0.2">
      <c r="A271" s="49"/>
      <c r="B271" s="73"/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49"/>
    </row>
    <row r="272" spans="1:15" x14ac:dyDescent="0.2">
      <c r="A272" s="49"/>
      <c r="B272" s="73"/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49"/>
    </row>
    <row r="273" spans="1:15" x14ac:dyDescent="0.2">
      <c r="A273" s="49"/>
      <c r="B273" s="73"/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49"/>
    </row>
    <row r="274" spans="1:15" x14ac:dyDescent="0.2">
      <c r="A274" s="49"/>
      <c r="B274" s="73"/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49"/>
    </row>
    <row r="275" spans="1:15" x14ac:dyDescent="0.2">
      <c r="A275" s="49"/>
      <c r="B275" s="73"/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49"/>
    </row>
    <row r="276" spans="1:15" x14ac:dyDescent="0.2">
      <c r="A276" s="49"/>
      <c r="B276" s="73"/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49"/>
    </row>
    <row r="277" spans="1:15" x14ac:dyDescent="0.2">
      <c r="A277" s="49"/>
      <c r="B277" s="73"/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49"/>
    </row>
    <row r="278" spans="1:15" x14ac:dyDescent="0.2">
      <c r="A278" s="49"/>
      <c r="B278" s="73"/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49"/>
    </row>
    <row r="279" spans="1:15" x14ac:dyDescent="0.2">
      <c r="A279" s="49"/>
      <c r="B279" s="73"/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49"/>
    </row>
    <row r="280" spans="1:15" x14ac:dyDescent="0.2">
      <c r="A280" s="49"/>
      <c r="B280" s="73"/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49"/>
    </row>
    <row r="281" spans="1:15" x14ac:dyDescent="0.2">
      <c r="A281" s="49"/>
      <c r="B281" s="73"/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49"/>
    </row>
    <row r="282" spans="1:15" x14ac:dyDescent="0.2">
      <c r="A282" s="49"/>
      <c r="B282" s="73"/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49"/>
    </row>
    <row r="283" spans="1:15" x14ac:dyDescent="0.2">
      <c r="A283" s="49"/>
      <c r="B283" s="73"/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49"/>
    </row>
    <row r="284" spans="1:15" x14ac:dyDescent="0.2">
      <c r="A284" s="49"/>
      <c r="B284" s="73"/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49"/>
    </row>
    <row r="285" spans="1:15" x14ac:dyDescent="0.2">
      <c r="A285" s="49"/>
      <c r="B285" s="73"/>
      <c r="C285" s="73"/>
      <c r="D285" s="73"/>
      <c r="E285" s="73"/>
      <c r="F285" s="73"/>
      <c r="G285" s="73"/>
      <c r="H285" s="73"/>
      <c r="I285" s="73"/>
      <c r="J285" s="73"/>
      <c r="K285" s="73"/>
      <c r="L285" s="73"/>
      <c r="M285" s="73"/>
      <c r="N285" s="73"/>
      <c r="O285" s="49"/>
    </row>
    <row r="286" spans="1:15" x14ac:dyDescent="0.2">
      <c r="A286" s="49"/>
      <c r="B286" s="73"/>
      <c r="C286" s="73"/>
      <c r="D286" s="73"/>
      <c r="E286" s="73"/>
      <c r="F286" s="73"/>
      <c r="G286" s="73"/>
      <c r="H286" s="73"/>
      <c r="I286" s="73"/>
      <c r="J286" s="73"/>
      <c r="K286" s="73"/>
      <c r="L286" s="73"/>
      <c r="M286" s="73"/>
      <c r="N286" s="73"/>
      <c r="O286" s="49"/>
    </row>
    <row r="287" spans="1:15" x14ac:dyDescent="0.2">
      <c r="A287" s="49"/>
      <c r="B287" s="73"/>
      <c r="C287" s="73"/>
      <c r="D287" s="73"/>
      <c r="E287" s="73"/>
      <c r="F287" s="73"/>
      <c r="G287" s="73"/>
      <c r="H287" s="73"/>
      <c r="I287" s="73"/>
      <c r="J287" s="73"/>
      <c r="K287" s="73"/>
      <c r="L287" s="73"/>
      <c r="M287" s="73"/>
      <c r="N287" s="73"/>
      <c r="O287" s="49"/>
    </row>
    <row r="288" spans="1:15" x14ac:dyDescent="0.2">
      <c r="A288" s="49"/>
      <c r="B288" s="73"/>
      <c r="C288" s="73"/>
      <c r="D288" s="73"/>
      <c r="E288" s="73"/>
      <c r="F288" s="73"/>
      <c r="G288" s="73"/>
      <c r="H288" s="73"/>
      <c r="I288" s="73"/>
      <c r="J288" s="73"/>
      <c r="K288" s="73"/>
      <c r="L288" s="73"/>
      <c r="M288" s="73"/>
      <c r="N288" s="73"/>
      <c r="O288" s="49"/>
    </row>
    <row r="289" spans="1:15" x14ac:dyDescent="0.2">
      <c r="A289" s="49"/>
      <c r="B289" s="73"/>
      <c r="C289" s="73"/>
      <c r="D289" s="73"/>
      <c r="E289" s="73"/>
      <c r="F289" s="73"/>
      <c r="G289" s="73"/>
      <c r="H289" s="73"/>
      <c r="I289" s="73"/>
      <c r="J289" s="73"/>
      <c r="K289" s="73"/>
      <c r="L289" s="73"/>
      <c r="M289" s="73"/>
      <c r="N289" s="73"/>
      <c r="O289" s="49"/>
    </row>
    <row r="290" spans="1:15" x14ac:dyDescent="0.2">
      <c r="A290" s="49"/>
      <c r="B290" s="73"/>
      <c r="C290" s="73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49"/>
    </row>
    <row r="291" spans="1:15" x14ac:dyDescent="0.2">
      <c r="A291" s="49"/>
      <c r="B291" s="73"/>
      <c r="C291" s="73"/>
      <c r="D291" s="73"/>
      <c r="E291" s="73"/>
      <c r="F291" s="73"/>
      <c r="G291" s="73"/>
      <c r="H291" s="73"/>
      <c r="I291" s="73"/>
      <c r="J291" s="73"/>
      <c r="K291" s="73"/>
      <c r="L291" s="73"/>
      <c r="M291" s="73"/>
      <c r="N291" s="73"/>
      <c r="O291" s="49"/>
    </row>
    <row r="292" spans="1:15" x14ac:dyDescent="0.2">
      <c r="A292" s="49"/>
      <c r="B292" s="73"/>
      <c r="C292" s="73"/>
      <c r="D292" s="73"/>
      <c r="E292" s="73"/>
      <c r="F292" s="73"/>
      <c r="G292" s="73"/>
      <c r="H292" s="73"/>
      <c r="I292" s="73"/>
      <c r="J292" s="73"/>
      <c r="K292" s="73"/>
      <c r="L292" s="73"/>
      <c r="M292" s="73"/>
      <c r="N292" s="73"/>
      <c r="O292" s="49"/>
    </row>
    <row r="293" spans="1:15" x14ac:dyDescent="0.2">
      <c r="A293" s="49"/>
      <c r="B293" s="73"/>
      <c r="C293" s="73"/>
      <c r="D293" s="73"/>
      <c r="E293" s="73"/>
      <c r="F293" s="73"/>
      <c r="G293" s="73"/>
      <c r="H293" s="73"/>
      <c r="I293" s="73"/>
      <c r="J293" s="73"/>
      <c r="K293" s="73"/>
      <c r="L293" s="73"/>
      <c r="M293" s="73"/>
      <c r="N293" s="73"/>
      <c r="O293" s="49"/>
    </row>
    <row r="294" spans="1:15" x14ac:dyDescent="0.2">
      <c r="A294" s="49"/>
      <c r="B294" s="73"/>
      <c r="C294" s="73"/>
      <c r="D294" s="73"/>
      <c r="E294" s="73"/>
      <c r="F294" s="73"/>
      <c r="G294" s="73"/>
      <c r="H294" s="73"/>
      <c r="I294" s="73"/>
      <c r="J294" s="73"/>
      <c r="K294" s="73"/>
      <c r="L294" s="73"/>
      <c r="M294" s="73"/>
      <c r="N294" s="73"/>
      <c r="O294" s="49"/>
    </row>
    <row r="295" spans="1:15" x14ac:dyDescent="0.2">
      <c r="A295" s="49"/>
      <c r="B295" s="73"/>
      <c r="C295" s="73"/>
      <c r="D295" s="73"/>
      <c r="E295" s="73"/>
      <c r="F295" s="73"/>
      <c r="G295" s="73"/>
      <c r="H295" s="73"/>
      <c r="I295" s="73"/>
      <c r="J295" s="73"/>
      <c r="K295" s="73"/>
      <c r="L295" s="73"/>
      <c r="M295" s="73"/>
      <c r="N295" s="73"/>
      <c r="O295" s="49"/>
    </row>
    <row r="296" spans="1:15" x14ac:dyDescent="0.2">
      <c r="A296" s="49"/>
      <c r="B296" s="73"/>
      <c r="C296" s="73"/>
      <c r="D296" s="73"/>
      <c r="E296" s="73"/>
      <c r="F296" s="73"/>
      <c r="G296" s="73"/>
      <c r="H296" s="73"/>
      <c r="I296" s="73"/>
      <c r="J296" s="73"/>
      <c r="K296" s="73"/>
      <c r="L296" s="73"/>
      <c r="M296" s="73"/>
      <c r="N296" s="73"/>
      <c r="O296" s="49"/>
    </row>
    <row r="297" spans="1:15" x14ac:dyDescent="0.2">
      <c r="A297" s="49"/>
      <c r="B297" s="73"/>
      <c r="C297" s="73"/>
      <c r="D297" s="73"/>
      <c r="E297" s="73"/>
      <c r="F297" s="73"/>
      <c r="G297" s="73"/>
      <c r="H297" s="73"/>
      <c r="I297" s="73"/>
      <c r="J297" s="73"/>
      <c r="K297" s="73"/>
      <c r="L297" s="73"/>
      <c r="M297" s="73"/>
      <c r="N297" s="73"/>
      <c r="O297" s="49"/>
    </row>
    <row r="298" spans="1:15" x14ac:dyDescent="0.2">
      <c r="A298" s="49"/>
      <c r="B298" s="73"/>
      <c r="C298" s="73"/>
      <c r="D298" s="73"/>
      <c r="E298" s="73"/>
      <c r="F298" s="73"/>
      <c r="G298" s="73"/>
      <c r="H298" s="73"/>
      <c r="I298" s="73"/>
      <c r="J298" s="73"/>
      <c r="K298" s="73"/>
      <c r="L298" s="73"/>
      <c r="M298" s="73"/>
      <c r="N298" s="73"/>
      <c r="O298" s="49"/>
    </row>
    <row r="299" spans="1:15" x14ac:dyDescent="0.2">
      <c r="A299" s="49"/>
      <c r="B299" s="73"/>
      <c r="C299" s="73"/>
      <c r="D299" s="73"/>
      <c r="E299" s="73"/>
      <c r="F299" s="73"/>
      <c r="G299" s="73"/>
      <c r="H299" s="73"/>
      <c r="I299" s="73"/>
      <c r="J299" s="73"/>
      <c r="K299" s="73"/>
      <c r="L299" s="73"/>
      <c r="M299" s="73"/>
      <c r="N299" s="73"/>
      <c r="O299" s="49"/>
    </row>
    <row r="300" spans="1:15" x14ac:dyDescent="0.2">
      <c r="A300" s="49"/>
      <c r="B300" s="73"/>
      <c r="C300" s="73"/>
      <c r="D300" s="73"/>
      <c r="E300" s="73"/>
      <c r="F300" s="73"/>
      <c r="G300" s="73"/>
      <c r="H300" s="73"/>
      <c r="I300" s="73"/>
      <c r="J300" s="73"/>
      <c r="K300" s="73"/>
      <c r="L300" s="73"/>
      <c r="M300" s="73"/>
      <c r="N300" s="73"/>
      <c r="O300" s="49"/>
    </row>
    <row r="301" spans="1:15" x14ac:dyDescent="0.2">
      <c r="A301" s="49"/>
      <c r="B301" s="73"/>
      <c r="C301" s="73"/>
      <c r="D301" s="73"/>
      <c r="E301" s="73"/>
      <c r="F301" s="73"/>
      <c r="G301" s="73"/>
      <c r="H301" s="73"/>
      <c r="I301" s="73"/>
      <c r="J301" s="73"/>
      <c r="K301" s="73"/>
      <c r="L301" s="73"/>
      <c r="M301" s="73"/>
      <c r="N301" s="73"/>
      <c r="O301" s="49"/>
    </row>
    <row r="302" spans="1:15" x14ac:dyDescent="0.2">
      <c r="A302" s="49"/>
      <c r="B302" s="73"/>
      <c r="C302" s="73"/>
      <c r="D302" s="73"/>
      <c r="E302" s="73"/>
      <c r="F302" s="73"/>
      <c r="G302" s="73"/>
      <c r="H302" s="73"/>
      <c r="I302" s="73"/>
      <c r="J302" s="73"/>
      <c r="K302" s="73"/>
      <c r="L302" s="73"/>
      <c r="M302" s="73"/>
      <c r="N302" s="73"/>
      <c r="O302" s="49"/>
    </row>
    <row r="303" spans="1:15" x14ac:dyDescent="0.2">
      <c r="A303" s="49"/>
      <c r="B303" s="73"/>
      <c r="C303" s="73"/>
      <c r="D303" s="73"/>
      <c r="E303" s="73"/>
      <c r="F303" s="73"/>
      <c r="G303" s="73"/>
      <c r="H303" s="73"/>
      <c r="I303" s="73"/>
      <c r="J303" s="73"/>
      <c r="K303" s="73"/>
      <c r="L303" s="73"/>
      <c r="M303" s="73"/>
      <c r="N303" s="73"/>
      <c r="O303" s="49"/>
    </row>
    <row r="304" spans="1:15" x14ac:dyDescent="0.2">
      <c r="A304" s="49"/>
      <c r="B304" s="73"/>
      <c r="C304" s="73"/>
      <c r="D304" s="73"/>
      <c r="E304" s="73"/>
      <c r="F304" s="73"/>
      <c r="G304" s="73"/>
      <c r="H304" s="73"/>
      <c r="I304" s="73"/>
      <c r="J304" s="73"/>
      <c r="K304" s="73"/>
      <c r="L304" s="73"/>
      <c r="M304" s="73"/>
      <c r="N304" s="73"/>
      <c r="O304" s="49"/>
    </row>
    <row r="305" spans="1:15" x14ac:dyDescent="0.2">
      <c r="A305" s="49"/>
      <c r="B305" s="73"/>
      <c r="C305" s="73"/>
      <c r="D305" s="73"/>
      <c r="E305" s="73"/>
      <c r="F305" s="73"/>
      <c r="G305" s="73"/>
      <c r="H305" s="73"/>
      <c r="I305" s="73"/>
      <c r="J305" s="73"/>
      <c r="K305" s="73"/>
      <c r="L305" s="73"/>
      <c r="M305" s="73"/>
      <c r="N305" s="73"/>
      <c r="O305" s="49"/>
    </row>
    <row r="306" spans="1:15" x14ac:dyDescent="0.2">
      <c r="A306" s="49"/>
      <c r="B306" s="73"/>
      <c r="C306" s="73"/>
      <c r="D306" s="73"/>
      <c r="E306" s="73"/>
      <c r="F306" s="73"/>
      <c r="G306" s="73"/>
      <c r="H306" s="73"/>
      <c r="I306" s="73"/>
      <c r="J306" s="73"/>
      <c r="K306" s="73"/>
      <c r="L306" s="73"/>
      <c r="M306" s="73"/>
      <c r="N306" s="73"/>
      <c r="O306" s="49"/>
    </row>
    <row r="307" spans="1:15" x14ac:dyDescent="0.2">
      <c r="A307" s="49"/>
      <c r="B307" s="73"/>
      <c r="C307" s="73"/>
      <c r="D307" s="73"/>
      <c r="E307" s="73"/>
      <c r="F307" s="73"/>
      <c r="G307" s="73"/>
      <c r="H307" s="73"/>
      <c r="I307" s="73"/>
      <c r="J307" s="73"/>
      <c r="K307" s="73"/>
      <c r="L307" s="73"/>
      <c r="M307" s="73"/>
      <c r="N307" s="73"/>
      <c r="O307" s="49"/>
    </row>
    <row r="308" spans="1:15" x14ac:dyDescent="0.2">
      <c r="A308" s="49"/>
      <c r="B308" s="73"/>
      <c r="C308" s="73"/>
      <c r="D308" s="73"/>
      <c r="E308" s="73"/>
      <c r="F308" s="73"/>
      <c r="G308" s="73"/>
      <c r="H308" s="73"/>
      <c r="I308" s="73"/>
      <c r="J308" s="73"/>
      <c r="K308" s="73"/>
      <c r="L308" s="73"/>
      <c r="M308" s="73"/>
      <c r="N308" s="73"/>
      <c r="O308" s="49"/>
    </row>
    <row r="309" spans="1:15" x14ac:dyDescent="0.2">
      <c r="A309" s="49"/>
      <c r="B309" s="73"/>
      <c r="C309" s="73"/>
      <c r="D309" s="73"/>
      <c r="E309" s="73"/>
      <c r="F309" s="73"/>
      <c r="G309" s="73"/>
      <c r="H309" s="73"/>
      <c r="I309" s="73"/>
      <c r="J309" s="73"/>
      <c r="K309" s="73"/>
      <c r="L309" s="73"/>
      <c r="M309" s="73"/>
      <c r="N309" s="73"/>
      <c r="O309" s="49"/>
    </row>
    <row r="310" spans="1:15" x14ac:dyDescent="0.2">
      <c r="A310" s="49"/>
      <c r="B310" s="73"/>
      <c r="C310" s="73"/>
      <c r="D310" s="73"/>
      <c r="E310" s="73"/>
      <c r="F310" s="73"/>
      <c r="G310" s="73"/>
      <c r="H310" s="73"/>
      <c r="I310" s="73"/>
      <c r="J310" s="73"/>
      <c r="K310" s="73"/>
      <c r="L310" s="73"/>
      <c r="M310" s="73"/>
      <c r="N310" s="73"/>
      <c r="O310" s="49"/>
    </row>
    <row r="311" spans="1:15" x14ac:dyDescent="0.2">
      <c r="A311" s="49"/>
      <c r="B311" s="73"/>
      <c r="C311" s="73"/>
      <c r="D311" s="73"/>
      <c r="E311" s="73"/>
      <c r="F311" s="73"/>
      <c r="G311" s="73"/>
      <c r="H311" s="73"/>
      <c r="I311" s="73"/>
      <c r="J311" s="73"/>
      <c r="K311" s="73"/>
      <c r="L311" s="73"/>
      <c r="M311" s="73"/>
      <c r="N311" s="73"/>
      <c r="O311" s="49"/>
    </row>
    <row r="312" spans="1:15" x14ac:dyDescent="0.2">
      <c r="A312" s="49"/>
      <c r="B312" s="73"/>
      <c r="C312" s="73"/>
      <c r="D312" s="73"/>
      <c r="E312" s="73"/>
      <c r="F312" s="73"/>
      <c r="G312" s="73"/>
      <c r="H312" s="73"/>
      <c r="I312" s="73"/>
      <c r="J312" s="73"/>
      <c r="K312" s="73"/>
      <c r="L312" s="73"/>
      <c r="M312" s="73"/>
      <c r="N312" s="73"/>
      <c r="O312" s="49"/>
    </row>
    <row r="313" spans="1:15" x14ac:dyDescent="0.2">
      <c r="A313" s="49"/>
      <c r="B313" s="73"/>
      <c r="C313" s="73"/>
      <c r="D313" s="73"/>
      <c r="E313" s="73"/>
      <c r="F313" s="73"/>
      <c r="G313" s="73"/>
      <c r="H313" s="73"/>
      <c r="I313" s="73"/>
      <c r="J313" s="73"/>
      <c r="K313" s="73"/>
      <c r="L313" s="73"/>
      <c r="M313" s="73"/>
      <c r="N313" s="73"/>
      <c r="O313" s="49"/>
    </row>
    <row r="314" spans="1:15" x14ac:dyDescent="0.2">
      <c r="A314" s="49"/>
      <c r="B314" s="73"/>
      <c r="C314" s="73"/>
      <c r="D314" s="73"/>
      <c r="E314" s="73"/>
      <c r="F314" s="73"/>
      <c r="G314" s="73"/>
      <c r="H314" s="73"/>
      <c r="I314" s="73"/>
      <c r="J314" s="73"/>
      <c r="K314" s="73"/>
      <c r="L314" s="73"/>
      <c r="M314" s="73"/>
      <c r="N314" s="73"/>
      <c r="O314" s="49"/>
    </row>
    <row r="315" spans="1:15" x14ac:dyDescent="0.2">
      <c r="A315" s="49"/>
      <c r="B315" s="73"/>
      <c r="C315" s="73"/>
      <c r="D315" s="73"/>
      <c r="E315" s="73"/>
      <c r="F315" s="73"/>
      <c r="G315" s="73"/>
      <c r="H315" s="73"/>
      <c r="I315" s="73"/>
      <c r="J315" s="73"/>
      <c r="K315" s="73"/>
      <c r="L315" s="73"/>
      <c r="M315" s="73"/>
      <c r="N315" s="73"/>
      <c r="O315" s="49"/>
    </row>
    <row r="316" spans="1:15" x14ac:dyDescent="0.2">
      <c r="A316" s="49"/>
      <c r="B316" s="73"/>
      <c r="C316" s="73"/>
      <c r="D316" s="73"/>
      <c r="E316" s="73"/>
      <c r="F316" s="73"/>
      <c r="G316" s="73"/>
      <c r="H316" s="73"/>
      <c r="I316" s="73"/>
      <c r="J316" s="73"/>
      <c r="K316" s="73"/>
      <c r="L316" s="73"/>
      <c r="M316" s="73"/>
      <c r="N316" s="73"/>
      <c r="O316" s="49"/>
    </row>
    <row r="317" spans="1:15" x14ac:dyDescent="0.2">
      <c r="A317" s="49"/>
      <c r="B317" s="73"/>
      <c r="C317" s="73"/>
      <c r="D317" s="73"/>
      <c r="E317" s="73"/>
      <c r="F317" s="73"/>
      <c r="G317" s="73"/>
      <c r="H317" s="73"/>
      <c r="I317" s="73"/>
      <c r="J317" s="73"/>
      <c r="K317" s="73"/>
      <c r="L317" s="73"/>
      <c r="M317" s="73"/>
      <c r="N317" s="73"/>
      <c r="O317" s="49"/>
    </row>
    <row r="318" spans="1:15" x14ac:dyDescent="0.2">
      <c r="A318" s="49"/>
      <c r="B318" s="73"/>
      <c r="C318" s="73"/>
      <c r="D318" s="73"/>
      <c r="E318" s="73"/>
      <c r="F318" s="73"/>
      <c r="G318" s="73"/>
      <c r="H318" s="73"/>
      <c r="I318" s="73"/>
      <c r="J318" s="73"/>
      <c r="K318" s="73"/>
      <c r="L318" s="73"/>
      <c r="M318" s="73"/>
      <c r="N318" s="73"/>
      <c r="O318" s="49"/>
    </row>
    <row r="319" spans="1:15" x14ac:dyDescent="0.2">
      <c r="A319" s="49"/>
      <c r="B319" s="73"/>
      <c r="C319" s="73"/>
      <c r="D319" s="73"/>
      <c r="E319" s="73"/>
      <c r="F319" s="73"/>
      <c r="G319" s="73"/>
      <c r="H319" s="73"/>
      <c r="I319" s="73"/>
      <c r="J319" s="73"/>
      <c r="K319" s="73"/>
      <c r="L319" s="73"/>
      <c r="M319" s="73"/>
      <c r="N319" s="73"/>
    </row>
    <row r="320" spans="1:15" x14ac:dyDescent="0.2">
      <c r="A320" s="49"/>
      <c r="B320" s="73"/>
      <c r="C320" s="73"/>
      <c r="D320" s="73"/>
      <c r="E320" s="73"/>
      <c r="F320" s="73"/>
      <c r="G320" s="73"/>
      <c r="H320" s="73"/>
      <c r="I320" s="73"/>
      <c r="J320" s="73"/>
      <c r="K320" s="73"/>
      <c r="L320" s="73"/>
      <c r="M320" s="73"/>
      <c r="N320" s="73"/>
    </row>
    <row r="321" spans="1:14" x14ac:dyDescent="0.2">
      <c r="A321" s="49"/>
      <c r="B321" s="73"/>
      <c r="C321" s="73"/>
      <c r="D321" s="73"/>
      <c r="E321" s="73"/>
      <c r="F321" s="73"/>
      <c r="G321" s="73"/>
      <c r="H321" s="73"/>
      <c r="I321" s="73"/>
      <c r="J321" s="73"/>
      <c r="K321" s="73"/>
      <c r="L321" s="73"/>
      <c r="M321" s="73"/>
      <c r="N321" s="73"/>
    </row>
    <row r="322" spans="1:14" x14ac:dyDescent="0.2">
      <c r="A322" s="49"/>
      <c r="B322" s="73"/>
      <c r="C322" s="73"/>
      <c r="D322" s="73"/>
      <c r="E322" s="73"/>
      <c r="F322" s="73"/>
      <c r="G322" s="73"/>
      <c r="H322" s="73"/>
      <c r="I322" s="73"/>
      <c r="J322" s="73"/>
      <c r="K322" s="73"/>
      <c r="L322" s="73"/>
      <c r="M322" s="73"/>
      <c r="N322" s="73"/>
    </row>
    <row r="323" spans="1:14" x14ac:dyDescent="0.2">
      <c r="A323" s="49"/>
      <c r="B323" s="73"/>
      <c r="C323" s="73"/>
      <c r="D323" s="73"/>
      <c r="E323" s="73"/>
      <c r="F323" s="73"/>
      <c r="G323" s="73"/>
      <c r="H323" s="73"/>
      <c r="I323" s="73"/>
      <c r="J323" s="73"/>
      <c r="K323" s="73"/>
      <c r="L323" s="73"/>
      <c r="M323" s="73"/>
      <c r="N323" s="73"/>
    </row>
    <row r="324" spans="1:14" x14ac:dyDescent="0.2">
      <c r="A324" s="49"/>
      <c r="B324" s="49"/>
      <c r="C324" s="49"/>
      <c r="D324" s="49"/>
      <c r="E324" s="49"/>
      <c r="F324" s="49"/>
      <c r="G324" s="49"/>
      <c r="H324" s="49"/>
      <c r="I324" s="49"/>
      <c r="J324" s="49"/>
      <c r="K324" s="49"/>
      <c r="L324" s="49"/>
      <c r="M324" s="49"/>
      <c r="N324" s="49"/>
    </row>
    <row r="1048528" spans="2:14" x14ac:dyDescent="0.2">
      <c r="B1048528" s="46"/>
      <c r="C1048528" s="46"/>
      <c r="D1048528" s="46"/>
      <c r="E1048528" s="46"/>
      <c r="F1048528" s="46"/>
      <c r="G1048528" s="46"/>
      <c r="H1048528" s="46"/>
      <c r="I1048528" s="46"/>
      <c r="J1048528" s="46"/>
      <c r="K1048528" s="46"/>
      <c r="L1048528" s="46"/>
      <c r="M1048528" s="75"/>
      <c r="N1048528" s="46"/>
    </row>
    <row r="1048529" spans="1:19" x14ac:dyDescent="0.2">
      <c r="B1048529" s="46"/>
      <c r="C1048529" s="46"/>
      <c r="D1048529" s="46"/>
      <c r="E1048529" s="46"/>
      <c r="F1048529" s="46"/>
      <c r="G1048529" s="46"/>
      <c r="H1048529" s="46"/>
      <c r="I1048529" s="46"/>
      <c r="J1048529" s="46"/>
      <c r="K1048529" s="46"/>
      <c r="L1048529" s="46"/>
      <c r="M1048529" s="75"/>
      <c r="N1048529" s="46"/>
    </row>
    <row r="1048530" spans="1:19" x14ac:dyDescent="0.2">
      <c r="B1048530" s="59"/>
      <c r="C1048530" s="60"/>
      <c r="D1048530" s="60"/>
      <c r="E1048530" s="60"/>
      <c r="F1048530" s="60"/>
      <c r="G1048530" s="60"/>
      <c r="H1048530" s="60"/>
      <c r="I1048530" s="60"/>
      <c r="J1048530" s="60"/>
      <c r="K1048530" s="60"/>
      <c r="L1048530" s="60"/>
      <c r="M1048530" s="60"/>
      <c r="N1048530" s="61"/>
    </row>
    <row r="1048531" spans="1:19" x14ac:dyDescent="0.2">
      <c r="B1048531" s="59"/>
      <c r="C1048531" s="60"/>
      <c r="D1048531" s="60"/>
      <c r="E1048531" s="60"/>
      <c r="F1048531" s="60"/>
      <c r="G1048531" s="60"/>
      <c r="H1048531" s="60"/>
      <c r="I1048531" s="60"/>
      <c r="J1048531" s="60"/>
      <c r="K1048531" s="60"/>
      <c r="L1048531" s="60"/>
      <c r="M1048531" s="60"/>
      <c r="N1048531" s="60"/>
    </row>
    <row r="1048535" spans="1:19" x14ac:dyDescent="0.2">
      <c r="A1048535" s="45">
        <f>B1048535</f>
        <v>989</v>
      </c>
      <c r="B1048535" s="46">
        <f>[15]Доклад!E$22</f>
        <v>989</v>
      </c>
      <c r="C1048535" s="46">
        <f>(B1048535-B1048534)/10*P1048534+C1048534</f>
        <v>0</v>
      </c>
      <c r="D1048535" s="46"/>
      <c r="E1048535" s="46"/>
      <c r="F1048535" s="46"/>
      <c r="G1048535" s="46">
        <f>(B1048535-B1048534)*COS(C1048535*PI()/180)+G1048534</f>
        <v>989</v>
      </c>
      <c r="H1048535" s="48"/>
      <c r="I1048535" s="48"/>
      <c r="J1048535" s="48"/>
      <c r="K1048535" s="48"/>
      <c r="L1048535" s="48"/>
      <c r="M1048535" s="48"/>
      <c r="N1048535" s="48"/>
      <c r="O1048535" s="48"/>
      <c r="P1048535" s="48"/>
      <c r="Q1048535" s="48"/>
      <c r="R1048535" s="48"/>
      <c r="S1048535" s="48"/>
    </row>
    <row r="1048536" spans="1:19" x14ac:dyDescent="0.2">
      <c r="A1048536" s="43">
        <v>1</v>
      </c>
      <c r="B1048536" s="48">
        <f>A1048536+1</f>
        <v>2</v>
      </c>
      <c r="C1048536" s="48">
        <f t="shared" ref="C1048536:O1048536" si="4">B1048536+1</f>
        <v>3</v>
      </c>
      <c r="D1048536" s="48">
        <f t="shared" si="4"/>
        <v>4</v>
      </c>
      <c r="E1048536" s="48">
        <f t="shared" si="4"/>
        <v>5</v>
      </c>
      <c r="F1048536" s="48">
        <f t="shared" si="4"/>
        <v>6</v>
      </c>
      <c r="G1048536" s="48">
        <f t="shared" si="4"/>
        <v>7</v>
      </c>
      <c r="H1048536" s="48">
        <f t="shared" si="4"/>
        <v>8</v>
      </c>
      <c r="I1048536" s="48">
        <f t="shared" si="4"/>
        <v>9</v>
      </c>
      <c r="J1048536" s="48">
        <f t="shared" si="4"/>
        <v>10</v>
      </c>
      <c r="K1048536" s="48">
        <f t="shared" si="4"/>
        <v>11</v>
      </c>
      <c r="L1048536" s="48">
        <f t="shared" si="4"/>
        <v>12</v>
      </c>
      <c r="M1048536" s="48">
        <f t="shared" si="4"/>
        <v>13</v>
      </c>
      <c r="N1048536" s="48">
        <f t="shared" si="4"/>
        <v>14</v>
      </c>
      <c r="O1048536" s="48">
        <f t="shared" si="4"/>
        <v>15</v>
      </c>
      <c r="P1048536" s="48"/>
      <c r="Q1048536" s="28"/>
      <c r="R1048536" s="28"/>
      <c r="S1048536" s="28"/>
    </row>
    <row r="1048537" spans="1:19" x14ac:dyDescent="0.2">
      <c r="A1048537" s="43"/>
      <c r="B1048537" s="48"/>
      <c r="C1048537" s="48"/>
      <c r="D1048537" s="48"/>
      <c r="E1048537" s="48"/>
      <c r="F1048537" s="48"/>
      <c r="G1048537" s="48"/>
      <c r="H1048537" s="48"/>
      <c r="I1048537" s="48"/>
      <c r="J1048537" s="48"/>
      <c r="K1048537" s="48"/>
      <c r="L1048537" s="48"/>
      <c r="M1048537" s="48"/>
      <c r="N1048537" s="48"/>
      <c r="O1048537" s="48"/>
      <c r="P1048537" s="48"/>
      <c r="Q1048537" s="28"/>
      <c r="R1048537" s="28"/>
      <c r="S1048537" s="28"/>
    </row>
    <row r="1048538" spans="1:19" x14ac:dyDescent="0.2">
      <c r="A1048538" s="43"/>
      <c r="B1048538" s="48"/>
      <c r="C1048538" s="48"/>
      <c r="D1048538" s="48"/>
      <c r="E1048538" s="48"/>
      <c r="F1048538" s="48"/>
      <c r="G1048538" s="48"/>
      <c r="H1048538" s="48"/>
      <c r="I1048538" s="48"/>
      <c r="J1048538" s="48"/>
      <c r="K1048538" s="48"/>
      <c r="L1048538" s="48"/>
      <c r="M1048538" s="48"/>
      <c r="N1048538" s="48"/>
      <c r="O1048538" s="48"/>
      <c r="P1048538" s="48"/>
      <c r="Q1048538" s="28"/>
      <c r="R1048538" s="28"/>
      <c r="S1048538" s="28"/>
    </row>
    <row r="1048539" spans="1:19" x14ac:dyDescent="0.2">
      <c r="A1048539" s="43" t="s">
        <v>35</v>
      </c>
      <c r="B1048539" s="48"/>
      <c r="C1048539" s="48"/>
      <c r="D1048539" s="48"/>
      <c r="E1048539" s="48"/>
      <c r="F1048539" s="48"/>
      <c r="G1048539" s="48"/>
      <c r="H1048539" s="48"/>
      <c r="I1048539" s="48"/>
      <c r="J1048539" s="48"/>
      <c r="K1048539" s="48"/>
      <c r="L1048539" s="48"/>
      <c r="M1048539" s="48"/>
      <c r="N1048539" s="48"/>
      <c r="O1048539" s="49"/>
      <c r="Q1048539" s="28"/>
      <c r="R1048539" s="28"/>
      <c r="S1048539" s="28"/>
    </row>
    <row r="1048540" spans="1:19" ht="13.5" thickBot="1" x14ac:dyDescent="0.25">
      <c r="A1048540" s="45"/>
      <c r="B1048540" s="46"/>
      <c r="C1048540" s="46"/>
      <c r="D1048540" s="46"/>
      <c r="E1048540" s="46"/>
      <c r="F1048540" s="46"/>
      <c r="G1048540" s="48"/>
      <c r="H1048540" s="48"/>
      <c r="I1048540" s="48"/>
      <c r="J1048540" s="48"/>
      <c r="K1048540" s="48"/>
      <c r="L1048540" s="48"/>
      <c r="M1048540" s="48"/>
      <c r="N1048540" s="48"/>
      <c r="O1048540" s="49"/>
      <c r="Q1048540" s="28"/>
      <c r="R1048540" s="28"/>
      <c r="S1048540" s="28"/>
    </row>
    <row r="1048541" spans="1:19" ht="13.5" thickBot="1" x14ac:dyDescent="0.25">
      <c r="A1048541" s="49"/>
      <c r="B1048541" s="59"/>
      <c r="C1048541" s="60"/>
      <c r="D1048541" s="60"/>
      <c r="E1048541" s="60"/>
      <c r="F1048541" s="60"/>
      <c r="G1048541" s="60"/>
      <c r="H1048541" s="60"/>
      <c r="I1048541" s="60"/>
      <c r="J1048541" s="60"/>
      <c r="K1048541" s="60"/>
      <c r="L1048541" s="60"/>
      <c r="M1048541" s="60"/>
      <c r="N1048541" s="61"/>
      <c r="O1048541" s="49"/>
      <c r="Q1048541" s="23"/>
      <c r="R1048541" s="55"/>
      <c r="S1048541" s="56"/>
    </row>
    <row r="1048542" spans="1:19" ht="13.5" thickBot="1" x14ac:dyDescent="0.25">
      <c r="A1048542" s="45"/>
      <c r="B1048542" s="46"/>
      <c r="C1048542" s="46"/>
      <c r="D1048542" s="46"/>
      <c r="E1048542" s="46"/>
      <c r="F1048542" s="46"/>
      <c r="G1048542" s="60"/>
      <c r="H1048542" s="60"/>
      <c r="I1048542" s="60"/>
      <c r="J1048542" s="60"/>
      <c r="K1048542" s="60"/>
      <c r="L1048542" s="60"/>
      <c r="M1048542" s="60"/>
      <c r="N1048542" s="60"/>
      <c r="O1048542" s="49"/>
      <c r="Q1048542" s="46"/>
      <c r="R1048542" s="46"/>
      <c r="S1048542" s="58"/>
    </row>
    <row r="1048543" spans="1:19" ht="39" thickBot="1" x14ac:dyDescent="0.25">
      <c r="A1048543" s="49"/>
      <c r="B1048543" s="54" t="s">
        <v>14</v>
      </c>
      <c r="C1048543" s="23" t="s">
        <v>15</v>
      </c>
      <c r="D1048543" s="23" t="s">
        <v>16</v>
      </c>
      <c r="E1048543" s="23" t="s">
        <v>31</v>
      </c>
      <c r="F1048543" s="23" t="s">
        <v>17</v>
      </c>
      <c r="G1048543" s="23" t="s">
        <v>18</v>
      </c>
      <c r="H1048543" s="23" t="s">
        <v>19</v>
      </c>
      <c r="I1048543" s="23" t="s">
        <v>20</v>
      </c>
      <c r="J1048543" s="23" t="s">
        <v>21</v>
      </c>
      <c r="K1048543" s="23" t="s">
        <v>32</v>
      </c>
      <c r="L1048543" s="23" t="s">
        <v>33</v>
      </c>
      <c r="M1048543" s="23" t="s">
        <v>22</v>
      </c>
      <c r="N1048543" s="23" t="s">
        <v>23</v>
      </c>
      <c r="O1048543" s="23" t="s">
        <v>22</v>
      </c>
      <c r="P1048543" s="23" t="s">
        <v>24</v>
      </c>
      <c r="Q1048543" s="23" t="s">
        <v>25</v>
      </c>
      <c r="R1048543" s="55" t="s">
        <v>26</v>
      </c>
      <c r="S1048543" s="56" t="s">
        <v>27</v>
      </c>
    </row>
    <row r="1048544" spans="1:19" x14ac:dyDescent="0.2">
      <c r="A1048544" s="49"/>
      <c r="B1048544" s="46">
        <v>1360</v>
      </c>
      <c r="C1048544" s="46">
        <v>63.122</v>
      </c>
      <c r="D1048544" s="46">
        <v>146.31899999999999</v>
      </c>
      <c r="E1048544" s="46">
        <v>136.77699999999999</v>
      </c>
      <c r="F1048544" s="46">
        <v>137.31100000000001</v>
      </c>
      <c r="G1048544" s="46">
        <v>1274.8599999999999</v>
      </c>
      <c r="H1048544" s="46">
        <v>-828.77</v>
      </c>
      <c r="I1048544" s="46">
        <v>-159.85</v>
      </c>
      <c r="J1048544" s="46">
        <v>147.44999999999999</v>
      </c>
      <c r="K1048544" s="46">
        <v>6722212.3399999999</v>
      </c>
      <c r="L1048544" s="46">
        <v>533690.78</v>
      </c>
      <c r="M1048544" s="46">
        <v>217.48</v>
      </c>
      <c r="N1048544" s="46">
        <v>137.31100000000001</v>
      </c>
      <c r="O1048544" s="46"/>
      <c r="P1048544" s="46">
        <v>0</v>
      </c>
      <c r="Q1048544" s="46">
        <v>0</v>
      </c>
      <c r="R1048544" s="46">
        <v>0</v>
      </c>
      <c r="S1048544" s="58"/>
    </row>
    <row r="1048545" spans="1:19" x14ac:dyDescent="0.2">
      <c r="A1048545" s="49"/>
      <c r="B1048545" s="46">
        <v>1370</v>
      </c>
      <c r="C1048545" s="46">
        <v>63.122</v>
      </c>
      <c r="D1048545" s="46">
        <v>146.31899999999999</v>
      </c>
      <c r="E1048545" s="46">
        <v>136.77699999999999</v>
      </c>
      <c r="F1048545" s="46">
        <v>137.31100000000001</v>
      </c>
      <c r="G1048545" s="46">
        <v>1279.3900000000001</v>
      </c>
      <c r="H1048545" s="46">
        <v>-833.3</v>
      </c>
      <c r="I1048545" s="46">
        <v>-166.41</v>
      </c>
      <c r="J1048545" s="46">
        <v>153.5</v>
      </c>
      <c r="K1048545" s="46">
        <v>6722205.8399999999</v>
      </c>
      <c r="L1048545" s="46">
        <v>533696.89</v>
      </c>
      <c r="M1048545" s="46">
        <v>226.4</v>
      </c>
      <c r="N1048545" s="46">
        <v>137.31100000000001</v>
      </c>
      <c r="O1048545" s="46"/>
      <c r="P1048545" s="46">
        <v>0</v>
      </c>
      <c r="Q1048545" s="46">
        <v>0</v>
      </c>
      <c r="R1048545" s="46">
        <v>0</v>
      </c>
      <c r="S1048545" s="58"/>
    </row>
    <row r="1048546" spans="1:19" x14ac:dyDescent="0.2">
      <c r="A1048546" s="49"/>
      <c r="B1048546" s="59"/>
      <c r="C1048546" s="60"/>
      <c r="D1048546" s="60"/>
      <c r="E1048546" s="60"/>
      <c r="F1048546" s="60"/>
      <c r="G1048546" s="60"/>
      <c r="H1048546" s="60"/>
      <c r="I1048546" s="60"/>
      <c r="J1048546" s="60"/>
      <c r="K1048546" s="60"/>
      <c r="L1048546" s="60"/>
      <c r="M1048546" s="60"/>
      <c r="N1048546" s="61"/>
      <c r="O1048546" s="49"/>
      <c r="Q1048546" s="28"/>
      <c r="R1048546" s="28"/>
      <c r="S1048546" s="28"/>
    </row>
    <row r="1048547" spans="1:19" x14ac:dyDescent="0.2">
      <c r="A1048547" s="49" t="s">
        <v>34</v>
      </c>
      <c r="B1048547" s="59" t="e">
        <f>VLOOKUP("Последний замер",#REF!,2)</f>
        <v>#REF!</v>
      </c>
      <c r="C1048547" s="60" t="e">
        <f>(C1048545-C1048544)/($B1048545-$B1048544)*($B1048547-$B1048544)+C1048544</f>
        <v>#REF!</v>
      </c>
      <c r="D1048547" s="60" t="e">
        <f t="shared" ref="D1048547" si="5">(D1048545-D1048544)/($B1048545-$B1048544)*($B1048547-$B1048544)+D1048544</f>
        <v>#REF!</v>
      </c>
      <c r="E1048547" s="60" t="e">
        <f>(E1048545-E1048544)/($B1048545-$B1048544)*($B1048547-$B1048544)+E1048544</f>
        <v>#REF!</v>
      </c>
      <c r="F1048547" s="60" t="e">
        <f t="shared" ref="F1048547:M1048547" si="6">(F1048545-F1048544)/($B1048545-$B1048544)*($B1048547-$B1048544)+F1048544</f>
        <v>#REF!</v>
      </c>
      <c r="G1048547" s="60" t="e">
        <f t="shared" si="6"/>
        <v>#REF!</v>
      </c>
      <c r="H1048547" s="60" t="e">
        <f t="shared" si="6"/>
        <v>#REF!</v>
      </c>
      <c r="I1048547" s="60" t="e">
        <f t="shared" si="6"/>
        <v>#REF!</v>
      </c>
      <c r="J1048547" s="60" t="e">
        <f t="shared" si="6"/>
        <v>#REF!</v>
      </c>
      <c r="K1048547" s="60" t="e">
        <f t="shared" si="6"/>
        <v>#REF!</v>
      </c>
      <c r="L1048547" s="60" t="e">
        <f t="shared" si="6"/>
        <v>#REF!</v>
      </c>
      <c r="M1048547" s="60" t="e">
        <f t="shared" si="6"/>
        <v>#REF!</v>
      </c>
      <c r="N1048547" s="60" t="e">
        <f>(N1048545-N1048544)/($B1048545-$B1048544)*($B1048547-$B1048544)+N1048544</f>
        <v>#REF!</v>
      </c>
      <c r="O1048547" s="60" t="e">
        <f t="shared" ref="O1048547:S1048547" si="7">(O1048545-O1048544)/($B1048545-$B1048544)*($B1048547-$B1048544)+O1048544</f>
        <v>#REF!</v>
      </c>
      <c r="P1048547" s="60" t="e">
        <f t="shared" si="7"/>
        <v>#REF!</v>
      </c>
      <c r="Q1048547" s="60" t="e">
        <f t="shared" si="7"/>
        <v>#REF!</v>
      </c>
      <c r="R1048547" s="60" t="e">
        <f t="shared" si="7"/>
        <v>#REF!</v>
      </c>
      <c r="S1048547" s="60" t="e">
        <f t="shared" si="7"/>
        <v>#REF!</v>
      </c>
    </row>
    <row r="1048548" spans="1:19" x14ac:dyDescent="0.2">
      <c r="A1048548" s="20"/>
      <c r="B1048548" s="48"/>
      <c r="C1048548" s="48"/>
      <c r="D1048548" s="48"/>
      <c r="E1048548" s="48"/>
      <c r="F1048548" s="48"/>
      <c r="G1048548" s="48"/>
      <c r="H1048548" s="48"/>
      <c r="I1048548" s="48"/>
      <c r="J1048548" s="48"/>
      <c r="K1048548" s="48"/>
      <c r="L1048548" s="48"/>
      <c r="M1048548" s="48"/>
      <c r="N1048548" s="48"/>
      <c r="O1048548" s="64"/>
      <c r="P1048548" s="64"/>
      <c r="Q1048548" s="64"/>
      <c r="R1048548" s="64"/>
      <c r="S1048548" s="64"/>
    </row>
    <row r="1048549" spans="1:19" x14ac:dyDescent="0.2">
      <c r="A1048549" s="20"/>
      <c r="B1048549" s="48"/>
      <c r="C1048549" s="48"/>
      <c r="D1048549" s="48"/>
      <c r="E1048549" s="48"/>
      <c r="F1048549" s="48"/>
      <c r="G1048549" s="48"/>
      <c r="H1048549" s="48"/>
      <c r="I1048549" s="48"/>
      <c r="J1048549" s="48"/>
      <c r="K1048549" s="48"/>
      <c r="L1048549" s="48"/>
      <c r="M1048549" s="48"/>
      <c r="N1048549" s="48"/>
      <c r="O1048549" s="64"/>
      <c r="P1048549" s="64"/>
      <c r="Q1048549" s="64"/>
      <c r="R1048549" s="64"/>
      <c r="S1048549" s="64"/>
    </row>
    <row r="1048550" spans="1:19" x14ac:dyDescent="0.2">
      <c r="A1048550" s="45"/>
      <c r="B1048550" s="46"/>
      <c r="C1048550" s="46"/>
      <c r="D1048550" s="46"/>
      <c r="E1048550" s="46"/>
      <c r="F1048550" s="46"/>
      <c r="G1048550" s="46"/>
      <c r="H1048550" s="48"/>
      <c r="I1048550" s="48"/>
      <c r="J1048550" s="48"/>
      <c r="K1048550" s="48"/>
      <c r="L1048550" s="48"/>
      <c r="M1048550" s="48"/>
      <c r="N1048550" s="48"/>
      <c r="O1048550" s="48"/>
      <c r="P1048550" s="48"/>
      <c r="Q1048550" s="64"/>
      <c r="R1048550" s="64"/>
      <c r="S1048550" s="64"/>
    </row>
    <row r="1048551" spans="1:19" x14ac:dyDescent="0.2">
      <c r="A1048551" s="45"/>
      <c r="B1048551" s="46"/>
      <c r="C1048551" s="46"/>
      <c r="D1048551" s="46"/>
      <c r="E1048551" s="46"/>
      <c r="F1048551" s="46"/>
      <c r="G1048551" s="46"/>
      <c r="H1048551" s="46"/>
      <c r="I1048551" s="46"/>
      <c r="J1048551" s="46"/>
      <c r="K1048551" s="46"/>
      <c r="L1048551" s="46"/>
      <c r="M1048551" s="46"/>
      <c r="N1048551" s="46"/>
      <c r="O1048551" s="49"/>
    </row>
    <row r="1048552" spans="1:19" x14ac:dyDescent="0.2">
      <c r="A1048552" s="49"/>
      <c r="B1048552" s="48"/>
      <c r="C1048552" s="48"/>
      <c r="D1048552" s="48"/>
      <c r="E1048552" s="48"/>
      <c r="F1048552" s="48"/>
      <c r="G1048552" s="48"/>
      <c r="H1048552" s="48"/>
      <c r="I1048552" s="48"/>
      <c r="J1048552" s="48"/>
      <c r="K1048552" s="48"/>
      <c r="L1048552" s="48"/>
      <c r="M1048552" s="48"/>
      <c r="N1048552" s="48"/>
      <c r="O1048552" s="49"/>
    </row>
    <row r="1048553" spans="1:19" x14ac:dyDescent="0.2">
      <c r="A1048553" s="49"/>
      <c r="B1048553" s="48"/>
      <c r="C1048553" s="48"/>
      <c r="D1048553" s="48"/>
      <c r="E1048553" s="48"/>
      <c r="F1048553" s="48"/>
      <c r="G1048553" s="48"/>
      <c r="H1048553" s="48"/>
      <c r="I1048553" s="48"/>
      <c r="J1048553" s="48"/>
      <c r="K1048553" s="48"/>
      <c r="L1048553" s="48"/>
      <c r="M1048553" s="48"/>
      <c r="N1048553" s="48"/>
      <c r="O1048553" s="49"/>
    </row>
    <row r="1048554" spans="1:19" x14ac:dyDescent="0.2">
      <c r="A1048554" s="49"/>
      <c r="B1048554" s="48"/>
      <c r="C1048554" s="48"/>
      <c r="D1048554" s="48"/>
      <c r="E1048554" s="48"/>
      <c r="F1048554" s="48"/>
      <c r="G1048554" s="48"/>
      <c r="H1048554" s="48"/>
      <c r="I1048554" s="48"/>
      <c r="J1048554" s="48"/>
      <c r="K1048554" s="48"/>
      <c r="L1048554" s="48"/>
      <c r="M1048554" s="48"/>
      <c r="N1048554" s="48"/>
      <c r="O1048554" s="49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A9A3-BCEE-4F38-80A3-3E310EC2FB47}">
  <sheetPr codeName="Лист4">
    <pageSetUpPr fitToPage="1"/>
  </sheetPr>
  <dimension ref="A1:S321"/>
  <sheetViews>
    <sheetView zoomScaleNormal="100" workbookViewId="0">
      <pane ySplit="2" topLeftCell="A6" activePane="bottomLeft" state="frozen"/>
      <selection pane="bottomLeft" activeCell="L1" sqref="L1"/>
    </sheetView>
  </sheetViews>
  <sheetFormatPr defaultRowHeight="12" customHeight="1" x14ac:dyDescent="0.25"/>
  <cols>
    <col min="2" max="10" width="9" bestFit="1" customWidth="1"/>
    <col min="11" max="11" width="10.5703125" bestFit="1" customWidth="1"/>
    <col min="12" max="12" width="9.5703125" bestFit="1" customWidth="1"/>
    <col min="13" max="14" width="9" bestFit="1" customWidth="1"/>
    <col min="16" max="18" width="9" bestFit="1" customWidth="1"/>
  </cols>
  <sheetData>
    <row r="1" spans="2:19" ht="12" customHeight="1" thickBot="1" x14ac:dyDescent="0.3">
      <c r="B1">
        <v>1</v>
      </c>
      <c r="C1">
        <v>3</v>
      </c>
      <c r="F1">
        <v>4</v>
      </c>
      <c r="G1">
        <v>2</v>
      </c>
      <c r="M1">
        <v>6</v>
      </c>
      <c r="P1">
        <v>5</v>
      </c>
    </row>
    <row r="2" spans="2:19" ht="46.15" customHeight="1" thickBot="1" x14ac:dyDescent="0.3">
      <c r="B2" s="54" t="s">
        <v>14</v>
      </c>
      <c r="C2" s="23" t="s">
        <v>15</v>
      </c>
      <c r="D2" s="23" t="s">
        <v>16</v>
      </c>
      <c r="E2" s="23" t="s">
        <v>31</v>
      </c>
      <c r="F2" s="23" t="s">
        <v>17</v>
      </c>
      <c r="G2" s="23" t="s">
        <v>18</v>
      </c>
      <c r="H2" s="23" t="s">
        <v>19</v>
      </c>
      <c r="I2" s="23" t="s">
        <v>20</v>
      </c>
      <c r="J2" s="23" t="s">
        <v>21</v>
      </c>
      <c r="K2" s="23" t="s">
        <v>32</v>
      </c>
      <c r="L2" s="23" t="s">
        <v>33</v>
      </c>
      <c r="M2" s="23" t="s">
        <v>22</v>
      </c>
      <c r="N2" s="23" t="s">
        <v>23</v>
      </c>
      <c r="O2" s="23" t="s">
        <v>22</v>
      </c>
      <c r="P2" s="23" t="s">
        <v>24</v>
      </c>
      <c r="Q2" s="23" t="s">
        <v>25</v>
      </c>
      <c r="R2" s="55" t="s">
        <v>26</v>
      </c>
      <c r="S2" s="56" t="s">
        <v>27</v>
      </c>
    </row>
    <row r="3" spans="2:19" ht="12" customHeight="1" x14ac:dyDescent="0.25">
      <c r="B3" s="76">
        <v>0</v>
      </c>
      <c r="C3" s="76">
        <v>0</v>
      </c>
      <c r="D3" s="76">
        <v>0</v>
      </c>
      <c r="E3" s="76">
        <v>0</v>
      </c>
      <c r="F3" s="76">
        <v>0</v>
      </c>
      <c r="G3" s="76">
        <v>0</v>
      </c>
      <c r="H3" s="76">
        <v>506.84</v>
      </c>
      <c r="I3" s="76">
        <v>0</v>
      </c>
      <c r="J3" s="76">
        <v>0</v>
      </c>
      <c r="K3" s="76">
        <v>6737875.3899999997</v>
      </c>
      <c r="L3" s="76">
        <v>553752.93999999994</v>
      </c>
      <c r="M3" s="76">
        <v>0</v>
      </c>
      <c r="N3" s="76">
        <v>0</v>
      </c>
      <c r="O3" s="76"/>
      <c r="P3" s="76">
        <v>0</v>
      </c>
      <c r="Q3" s="76">
        <v>0</v>
      </c>
      <c r="R3" s="76">
        <v>0</v>
      </c>
      <c r="S3" s="77"/>
    </row>
    <row r="4" spans="2:19" ht="12" customHeight="1" x14ac:dyDescent="0.25">
      <c r="B4" s="78">
        <v>10</v>
      </c>
      <c r="C4" s="78">
        <v>0</v>
      </c>
      <c r="D4" s="78">
        <v>0</v>
      </c>
      <c r="E4" s="78">
        <v>0</v>
      </c>
      <c r="F4" s="78">
        <v>0</v>
      </c>
      <c r="G4" s="78">
        <v>10</v>
      </c>
      <c r="H4" s="78">
        <v>496.84</v>
      </c>
      <c r="I4" s="78">
        <v>0</v>
      </c>
      <c r="J4" s="78">
        <v>0</v>
      </c>
      <c r="K4" s="78">
        <v>6737875.3899999997</v>
      </c>
      <c r="L4" s="78">
        <v>553752.93999999994</v>
      </c>
      <c r="M4" s="78">
        <v>0</v>
      </c>
      <c r="N4" s="78">
        <v>0</v>
      </c>
      <c r="O4" s="78"/>
      <c r="P4" s="78">
        <v>0</v>
      </c>
      <c r="Q4" s="78">
        <v>0</v>
      </c>
      <c r="R4" s="78">
        <v>0</v>
      </c>
      <c r="S4" s="79"/>
    </row>
    <row r="5" spans="2:19" ht="12" customHeight="1" x14ac:dyDescent="0.25">
      <c r="B5" s="78">
        <v>20</v>
      </c>
      <c r="C5" s="78">
        <v>0</v>
      </c>
      <c r="D5" s="78">
        <v>0</v>
      </c>
      <c r="E5" s="78">
        <v>0</v>
      </c>
      <c r="F5" s="78">
        <v>0</v>
      </c>
      <c r="G5" s="78">
        <v>20</v>
      </c>
      <c r="H5" s="78">
        <v>486.84</v>
      </c>
      <c r="I5" s="78">
        <v>0</v>
      </c>
      <c r="J5" s="78">
        <v>0</v>
      </c>
      <c r="K5" s="78">
        <v>6737875.3899999997</v>
      </c>
      <c r="L5" s="78">
        <v>553752.93999999994</v>
      </c>
      <c r="M5" s="78">
        <v>0</v>
      </c>
      <c r="N5" s="78">
        <v>0</v>
      </c>
      <c r="O5" s="78"/>
      <c r="P5" s="78">
        <v>0</v>
      </c>
      <c r="Q5" s="78">
        <v>0</v>
      </c>
      <c r="R5" s="78">
        <v>0</v>
      </c>
      <c r="S5" s="79"/>
    </row>
    <row r="6" spans="2:19" ht="12" customHeight="1" x14ac:dyDescent="0.25">
      <c r="B6" s="78">
        <v>30</v>
      </c>
      <c r="C6" s="78">
        <v>0</v>
      </c>
      <c r="D6" s="78">
        <v>0</v>
      </c>
      <c r="E6" s="78">
        <v>0</v>
      </c>
      <c r="F6" s="78">
        <v>0</v>
      </c>
      <c r="G6" s="78">
        <v>30</v>
      </c>
      <c r="H6" s="78">
        <v>476.84</v>
      </c>
      <c r="I6" s="78">
        <v>0</v>
      </c>
      <c r="J6" s="78">
        <v>0</v>
      </c>
      <c r="K6" s="78">
        <v>6737875.3899999997</v>
      </c>
      <c r="L6" s="78">
        <v>553752.93999999994</v>
      </c>
      <c r="M6" s="78">
        <v>0</v>
      </c>
      <c r="N6" s="78">
        <v>0</v>
      </c>
      <c r="O6" s="78"/>
      <c r="P6" s="78">
        <v>0</v>
      </c>
      <c r="Q6" s="78">
        <v>0</v>
      </c>
      <c r="R6" s="78">
        <v>0</v>
      </c>
      <c r="S6" s="79"/>
    </row>
    <row r="7" spans="2:19" ht="12" customHeight="1" x14ac:dyDescent="0.25">
      <c r="B7" s="78">
        <v>40</v>
      </c>
      <c r="C7" s="78">
        <v>0</v>
      </c>
      <c r="D7" s="78">
        <v>0</v>
      </c>
      <c r="E7" s="78">
        <v>0</v>
      </c>
      <c r="F7" s="78">
        <v>0</v>
      </c>
      <c r="G7" s="78">
        <v>40</v>
      </c>
      <c r="H7" s="78">
        <v>466.84</v>
      </c>
      <c r="I7" s="78">
        <v>0</v>
      </c>
      <c r="J7" s="78">
        <v>0</v>
      </c>
      <c r="K7" s="78">
        <v>6737875.3899999997</v>
      </c>
      <c r="L7" s="78">
        <v>553752.93999999994</v>
      </c>
      <c r="M7" s="78">
        <v>0</v>
      </c>
      <c r="N7" s="78">
        <v>0</v>
      </c>
      <c r="O7" s="78"/>
      <c r="P7" s="78">
        <v>0</v>
      </c>
      <c r="Q7" s="78">
        <v>0</v>
      </c>
      <c r="R7" s="78">
        <v>0</v>
      </c>
      <c r="S7" s="79"/>
    </row>
    <row r="8" spans="2:19" ht="12" customHeight="1" x14ac:dyDescent="0.25">
      <c r="B8" s="78">
        <v>50</v>
      </c>
      <c r="C8" s="78">
        <v>0</v>
      </c>
      <c r="D8" s="78">
        <v>0</v>
      </c>
      <c r="E8" s="78">
        <v>0</v>
      </c>
      <c r="F8" s="78">
        <v>0</v>
      </c>
      <c r="G8" s="78">
        <v>50</v>
      </c>
      <c r="H8" s="78">
        <v>456.84</v>
      </c>
      <c r="I8" s="78">
        <v>0</v>
      </c>
      <c r="J8" s="78">
        <v>0</v>
      </c>
      <c r="K8" s="78">
        <v>6737875.3899999997</v>
      </c>
      <c r="L8" s="78">
        <v>553752.93999999994</v>
      </c>
      <c r="M8" s="78">
        <v>0</v>
      </c>
      <c r="N8" s="78">
        <v>0</v>
      </c>
      <c r="O8" s="78"/>
      <c r="P8" s="78">
        <v>0</v>
      </c>
      <c r="Q8" s="78">
        <v>0</v>
      </c>
      <c r="R8" s="78">
        <v>0</v>
      </c>
      <c r="S8" s="79"/>
    </row>
    <row r="9" spans="2:19" ht="12" customHeight="1" x14ac:dyDescent="0.25">
      <c r="B9" s="78">
        <v>60</v>
      </c>
      <c r="C9" s="78">
        <v>0</v>
      </c>
      <c r="D9" s="78">
        <v>0</v>
      </c>
      <c r="E9" s="78">
        <v>0</v>
      </c>
      <c r="F9" s="78">
        <v>0</v>
      </c>
      <c r="G9" s="78">
        <v>60</v>
      </c>
      <c r="H9" s="78">
        <v>446.84</v>
      </c>
      <c r="I9" s="78">
        <v>0</v>
      </c>
      <c r="J9" s="78">
        <v>0</v>
      </c>
      <c r="K9" s="78">
        <v>6737875.3899999997</v>
      </c>
      <c r="L9" s="78">
        <v>553752.93999999994</v>
      </c>
      <c r="M9" s="78">
        <v>0</v>
      </c>
      <c r="N9" s="78">
        <v>0</v>
      </c>
      <c r="O9" s="78"/>
      <c r="P9" s="78">
        <v>0</v>
      </c>
      <c r="Q9" s="78">
        <v>0</v>
      </c>
      <c r="R9" s="78">
        <v>0</v>
      </c>
      <c r="S9" s="79" t="s">
        <v>36</v>
      </c>
    </row>
    <row r="10" spans="2:19" ht="12" customHeight="1" x14ac:dyDescent="0.25">
      <c r="B10" s="78">
        <v>70</v>
      </c>
      <c r="C10" s="78">
        <v>0</v>
      </c>
      <c r="D10" s="78">
        <v>0</v>
      </c>
      <c r="E10" s="78">
        <v>0</v>
      </c>
      <c r="F10" s="78">
        <v>0</v>
      </c>
      <c r="G10" s="78">
        <v>70</v>
      </c>
      <c r="H10" s="78">
        <v>436.84</v>
      </c>
      <c r="I10" s="78">
        <v>0</v>
      </c>
      <c r="J10" s="78">
        <v>0</v>
      </c>
      <c r="K10" s="78">
        <v>6737875.3899999997</v>
      </c>
      <c r="L10" s="78">
        <v>553752.93999999994</v>
      </c>
      <c r="M10" s="78">
        <v>0</v>
      </c>
      <c r="N10" s="78">
        <v>0</v>
      </c>
      <c r="O10" s="78"/>
      <c r="P10" s="78">
        <v>0</v>
      </c>
      <c r="Q10" s="78">
        <v>0</v>
      </c>
      <c r="R10" s="78">
        <v>0</v>
      </c>
      <c r="S10" s="79"/>
    </row>
    <row r="11" spans="2:19" ht="12" customHeight="1" x14ac:dyDescent="0.25">
      <c r="B11" s="78">
        <v>80</v>
      </c>
      <c r="C11" s="78">
        <v>0</v>
      </c>
      <c r="D11" s="78">
        <v>0</v>
      </c>
      <c r="E11" s="78">
        <v>0</v>
      </c>
      <c r="F11" s="78">
        <v>0</v>
      </c>
      <c r="G11" s="78">
        <v>80</v>
      </c>
      <c r="H11" s="78">
        <v>426.84</v>
      </c>
      <c r="I11" s="78">
        <v>0</v>
      </c>
      <c r="J11" s="78">
        <v>0</v>
      </c>
      <c r="K11" s="78">
        <v>6737875.3899999997</v>
      </c>
      <c r="L11" s="78">
        <v>553752.93999999994</v>
      </c>
      <c r="M11" s="78">
        <v>0</v>
      </c>
      <c r="N11" s="78">
        <v>0</v>
      </c>
      <c r="O11" s="78"/>
      <c r="P11" s="78">
        <v>0</v>
      </c>
      <c r="Q11" s="78">
        <v>0</v>
      </c>
      <c r="R11" s="78">
        <v>0</v>
      </c>
      <c r="S11" s="79"/>
    </row>
    <row r="12" spans="2:19" ht="12" customHeight="1" x14ac:dyDescent="0.25">
      <c r="B12" s="78">
        <v>90</v>
      </c>
      <c r="C12" s="78">
        <v>0</v>
      </c>
      <c r="D12" s="78">
        <v>0</v>
      </c>
      <c r="E12" s="78">
        <v>0</v>
      </c>
      <c r="F12" s="78">
        <v>0</v>
      </c>
      <c r="G12" s="78">
        <v>90</v>
      </c>
      <c r="H12" s="78">
        <v>416.84</v>
      </c>
      <c r="I12" s="78">
        <v>0</v>
      </c>
      <c r="J12" s="78">
        <v>0</v>
      </c>
      <c r="K12" s="78">
        <v>6737875.3899999997</v>
      </c>
      <c r="L12" s="78">
        <v>553752.93999999994</v>
      </c>
      <c r="M12" s="78">
        <v>0</v>
      </c>
      <c r="N12" s="78">
        <v>0</v>
      </c>
      <c r="O12" s="78"/>
      <c r="P12" s="78">
        <v>0</v>
      </c>
      <c r="Q12" s="78">
        <v>0</v>
      </c>
      <c r="R12" s="78">
        <v>0</v>
      </c>
      <c r="S12" s="79"/>
    </row>
    <row r="13" spans="2:19" ht="12" customHeight="1" x14ac:dyDescent="0.25">
      <c r="B13" s="78">
        <v>100</v>
      </c>
      <c r="C13" s="78">
        <v>0</v>
      </c>
      <c r="D13" s="78">
        <v>0</v>
      </c>
      <c r="E13" s="78">
        <v>0</v>
      </c>
      <c r="F13" s="78">
        <v>0</v>
      </c>
      <c r="G13" s="78">
        <v>100</v>
      </c>
      <c r="H13" s="78">
        <v>406.84</v>
      </c>
      <c r="I13" s="78">
        <v>0</v>
      </c>
      <c r="J13" s="78">
        <v>0</v>
      </c>
      <c r="K13" s="78">
        <v>6737875.3899999997</v>
      </c>
      <c r="L13" s="78">
        <v>553752.93999999994</v>
      </c>
      <c r="M13" s="78">
        <v>0</v>
      </c>
      <c r="N13" s="78">
        <v>0</v>
      </c>
      <c r="O13" s="78"/>
      <c r="P13" s="78">
        <v>0</v>
      </c>
      <c r="Q13" s="78">
        <v>0</v>
      </c>
      <c r="R13" s="78">
        <v>0</v>
      </c>
      <c r="S13" s="79"/>
    </row>
    <row r="14" spans="2:19" ht="12" customHeight="1" x14ac:dyDescent="0.25">
      <c r="B14" s="78">
        <v>110</v>
      </c>
      <c r="C14" s="78">
        <v>0</v>
      </c>
      <c r="D14" s="78">
        <v>0</v>
      </c>
      <c r="E14" s="78">
        <v>0</v>
      </c>
      <c r="F14" s="78">
        <v>0</v>
      </c>
      <c r="G14" s="78">
        <v>110</v>
      </c>
      <c r="H14" s="78">
        <v>396.84</v>
      </c>
      <c r="I14" s="78">
        <v>0</v>
      </c>
      <c r="J14" s="78">
        <v>0</v>
      </c>
      <c r="K14" s="78">
        <v>6737875.3899999997</v>
      </c>
      <c r="L14" s="78">
        <v>553752.93999999994</v>
      </c>
      <c r="M14" s="78">
        <v>0</v>
      </c>
      <c r="N14" s="78">
        <v>0</v>
      </c>
      <c r="O14" s="78"/>
      <c r="P14" s="78">
        <v>0</v>
      </c>
      <c r="Q14" s="78">
        <v>0</v>
      </c>
      <c r="R14" s="78">
        <v>0</v>
      </c>
      <c r="S14" s="79"/>
    </row>
    <row r="15" spans="2:19" ht="12" customHeight="1" x14ac:dyDescent="0.25">
      <c r="B15" s="78">
        <v>120</v>
      </c>
      <c r="C15" s="78">
        <v>0</v>
      </c>
      <c r="D15" s="78">
        <v>0</v>
      </c>
      <c r="E15" s="78">
        <v>0</v>
      </c>
      <c r="F15" s="78">
        <v>0</v>
      </c>
      <c r="G15" s="78">
        <v>120</v>
      </c>
      <c r="H15" s="78">
        <v>386.84</v>
      </c>
      <c r="I15" s="78">
        <v>0</v>
      </c>
      <c r="J15" s="78">
        <v>0</v>
      </c>
      <c r="K15" s="78">
        <v>6737875.3899999997</v>
      </c>
      <c r="L15" s="78">
        <v>553752.93999999994</v>
      </c>
      <c r="M15" s="78">
        <v>0</v>
      </c>
      <c r="N15" s="78">
        <v>0</v>
      </c>
      <c r="O15" s="78"/>
      <c r="P15" s="78">
        <v>0</v>
      </c>
      <c r="Q15" s="78">
        <v>0</v>
      </c>
      <c r="R15" s="78">
        <v>0</v>
      </c>
      <c r="S15" s="79"/>
    </row>
    <row r="16" spans="2:19" ht="12" customHeight="1" x14ac:dyDescent="0.25">
      <c r="B16" s="78">
        <v>130</v>
      </c>
      <c r="C16" s="78">
        <v>0</v>
      </c>
      <c r="D16" s="78">
        <v>0</v>
      </c>
      <c r="E16" s="78">
        <v>0</v>
      </c>
      <c r="F16" s="78">
        <v>0</v>
      </c>
      <c r="G16" s="78">
        <v>130</v>
      </c>
      <c r="H16" s="78">
        <v>376.84</v>
      </c>
      <c r="I16" s="78">
        <v>0</v>
      </c>
      <c r="J16" s="78">
        <v>0</v>
      </c>
      <c r="K16" s="78">
        <v>6737875.3899999997</v>
      </c>
      <c r="L16" s="78">
        <v>553752.93999999994</v>
      </c>
      <c r="M16" s="78">
        <v>0</v>
      </c>
      <c r="N16" s="78">
        <v>0</v>
      </c>
      <c r="O16" s="78"/>
      <c r="P16" s="78">
        <v>0</v>
      </c>
      <c r="Q16" s="78">
        <v>0</v>
      </c>
      <c r="R16" s="78">
        <v>0</v>
      </c>
      <c r="S16" s="79"/>
    </row>
    <row r="17" spans="2:19" ht="12" customHeight="1" x14ac:dyDescent="0.25">
      <c r="B17" s="78">
        <v>140</v>
      </c>
      <c r="C17" s="78">
        <v>0</v>
      </c>
      <c r="D17" s="78">
        <v>0</v>
      </c>
      <c r="E17" s="78">
        <v>0</v>
      </c>
      <c r="F17" s="78">
        <v>0</v>
      </c>
      <c r="G17" s="78">
        <v>140</v>
      </c>
      <c r="H17" s="78">
        <v>366.84</v>
      </c>
      <c r="I17" s="78">
        <v>0</v>
      </c>
      <c r="J17" s="78">
        <v>0</v>
      </c>
      <c r="K17" s="78">
        <v>6737875.3899999997</v>
      </c>
      <c r="L17" s="78">
        <v>553752.93999999994</v>
      </c>
      <c r="M17" s="78">
        <v>0</v>
      </c>
      <c r="N17" s="78">
        <v>0</v>
      </c>
      <c r="O17" s="78"/>
      <c r="P17" s="78">
        <v>0</v>
      </c>
      <c r="Q17" s="78">
        <v>0</v>
      </c>
      <c r="R17" s="78">
        <v>0</v>
      </c>
      <c r="S17" s="79"/>
    </row>
    <row r="18" spans="2:19" ht="12" customHeight="1" x14ac:dyDescent="0.25">
      <c r="B18" s="78">
        <v>150</v>
      </c>
      <c r="C18" s="78">
        <v>0</v>
      </c>
      <c r="D18" s="78">
        <v>0</v>
      </c>
      <c r="E18" s="78">
        <v>0</v>
      </c>
      <c r="F18" s="78">
        <v>0</v>
      </c>
      <c r="G18" s="78">
        <v>150</v>
      </c>
      <c r="H18" s="78">
        <v>356.84</v>
      </c>
      <c r="I18" s="78">
        <v>0</v>
      </c>
      <c r="J18" s="78">
        <v>0</v>
      </c>
      <c r="K18" s="78">
        <v>6737875.3899999997</v>
      </c>
      <c r="L18" s="78">
        <v>553752.93999999994</v>
      </c>
      <c r="M18" s="78">
        <v>0</v>
      </c>
      <c r="N18" s="78">
        <v>0</v>
      </c>
      <c r="O18" s="78"/>
      <c r="P18" s="78">
        <v>0</v>
      </c>
      <c r="Q18" s="78">
        <v>0</v>
      </c>
      <c r="R18" s="78">
        <v>0</v>
      </c>
      <c r="S18" s="79"/>
    </row>
    <row r="19" spans="2:19" ht="12" customHeight="1" x14ac:dyDescent="0.25">
      <c r="B19" s="78">
        <v>160</v>
      </c>
      <c r="C19" s="78">
        <v>0</v>
      </c>
      <c r="D19" s="78">
        <v>0</v>
      </c>
      <c r="E19" s="78">
        <v>0</v>
      </c>
      <c r="F19" s="78">
        <v>0</v>
      </c>
      <c r="G19" s="78">
        <v>160</v>
      </c>
      <c r="H19" s="78">
        <v>346.84</v>
      </c>
      <c r="I19" s="78">
        <v>0</v>
      </c>
      <c r="J19" s="78">
        <v>0</v>
      </c>
      <c r="K19" s="78">
        <v>6737875.3899999997</v>
      </c>
      <c r="L19" s="78">
        <v>553752.93999999994</v>
      </c>
      <c r="M19" s="78">
        <v>0</v>
      </c>
      <c r="N19" s="78">
        <v>0</v>
      </c>
      <c r="O19" s="78"/>
      <c r="P19" s="78">
        <v>0</v>
      </c>
      <c r="Q19" s="78">
        <v>0</v>
      </c>
      <c r="R19" s="78">
        <v>0</v>
      </c>
      <c r="S19" s="79"/>
    </row>
    <row r="20" spans="2:19" ht="12" customHeight="1" x14ac:dyDescent="0.25">
      <c r="B20" s="78">
        <v>170</v>
      </c>
      <c r="C20" s="78">
        <v>0</v>
      </c>
      <c r="D20" s="78">
        <v>0</v>
      </c>
      <c r="E20" s="78">
        <v>0</v>
      </c>
      <c r="F20" s="78">
        <v>0</v>
      </c>
      <c r="G20" s="78">
        <v>170</v>
      </c>
      <c r="H20" s="78">
        <v>336.84</v>
      </c>
      <c r="I20" s="78">
        <v>0</v>
      </c>
      <c r="J20" s="78">
        <v>0</v>
      </c>
      <c r="K20" s="78">
        <v>6737875.3899999997</v>
      </c>
      <c r="L20" s="78">
        <v>553752.93999999994</v>
      </c>
      <c r="M20" s="78">
        <v>0</v>
      </c>
      <c r="N20" s="78">
        <v>0</v>
      </c>
      <c r="O20" s="78"/>
      <c r="P20" s="78">
        <v>0</v>
      </c>
      <c r="Q20" s="78">
        <v>0</v>
      </c>
      <c r="R20" s="78">
        <v>0</v>
      </c>
      <c r="S20" s="79"/>
    </row>
    <row r="21" spans="2:19" ht="12" customHeight="1" x14ac:dyDescent="0.25">
      <c r="B21" s="78">
        <v>180</v>
      </c>
      <c r="C21" s="78">
        <v>0</v>
      </c>
      <c r="D21" s="78">
        <v>0</v>
      </c>
      <c r="E21" s="78">
        <v>0</v>
      </c>
      <c r="F21" s="78">
        <v>0</v>
      </c>
      <c r="G21" s="78">
        <v>180</v>
      </c>
      <c r="H21" s="78">
        <v>326.83999999999997</v>
      </c>
      <c r="I21" s="78">
        <v>0</v>
      </c>
      <c r="J21" s="78">
        <v>0</v>
      </c>
      <c r="K21" s="78">
        <v>6737875.3899999997</v>
      </c>
      <c r="L21" s="78">
        <v>553752.93999999994</v>
      </c>
      <c r="M21" s="78">
        <v>0</v>
      </c>
      <c r="N21" s="78">
        <v>0</v>
      </c>
      <c r="O21" s="78"/>
      <c r="P21" s="78">
        <v>0</v>
      </c>
      <c r="Q21" s="78">
        <v>0</v>
      </c>
      <c r="R21" s="78">
        <v>0</v>
      </c>
      <c r="S21" s="79"/>
    </row>
    <row r="22" spans="2:19" ht="12" customHeight="1" x14ac:dyDescent="0.25">
      <c r="B22" s="78">
        <v>190</v>
      </c>
      <c r="C22" s="78">
        <v>0</v>
      </c>
      <c r="D22" s="78">
        <v>0</v>
      </c>
      <c r="E22" s="78">
        <v>0</v>
      </c>
      <c r="F22" s="78">
        <v>0</v>
      </c>
      <c r="G22" s="78">
        <v>190</v>
      </c>
      <c r="H22" s="78">
        <v>316.83999999999997</v>
      </c>
      <c r="I22" s="78">
        <v>0</v>
      </c>
      <c r="J22" s="78">
        <v>0</v>
      </c>
      <c r="K22" s="78">
        <v>6737875.3899999997</v>
      </c>
      <c r="L22" s="78">
        <v>553752.93999999994</v>
      </c>
      <c r="M22" s="78">
        <v>0</v>
      </c>
      <c r="N22" s="78">
        <v>0</v>
      </c>
      <c r="O22" s="78"/>
      <c r="P22" s="78">
        <v>0</v>
      </c>
      <c r="Q22" s="78">
        <v>0</v>
      </c>
      <c r="R22" s="78">
        <v>0</v>
      </c>
      <c r="S22" s="79"/>
    </row>
    <row r="23" spans="2:19" ht="12" customHeight="1" x14ac:dyDescent="0.25">
      <c r="B23" s="78">
        <v>200</v>
      </c>
      <c r="C23" s="78">
        <v>0</v>
      </c>
      <c r="D23" s="78">
        <v>0</v>
      </c>
      <c r="E23" s="78">
        <v>0</v>
      </c>
      <c r="F23" s="78">
        <v>0</v>
      </c>
      <c r="G23" s="78">
        <v>200</v>
      </c>
      <c r="H23" s="78">
        <v>306.83999999999997</v>
      </c>
      <c r="I23" s="78">
        <v>0</v>
      </c>
      <c r="J23" s="78">
        <v>0</v>
      </c>
      <c r="K23" s="78">
        <v>6737875.3899999997</v>
      </c>
      <c r="L23" s="78">
        <v>553752.93999999994</v>
      </c>
      <c r="M23" s="78">
        <v>0</v>
      </c>
      <c r="N23" s="78">
        <v>0</v>
      </c>
      <c r="O23" s="78"/>
      <c r="P23" s="78">
        <v>0</v>
      </c>
      <c r="Q23" s="78">
        <v>0</v>
      </c>
      <c r="R23" s="78">
        <v>0</v>
      </c>
      <c r="S23" s="79"/>
    </row>
    <row r="24" spans="2:19" ht="12" customHeight="1" x14ac:dyDescent="0.25">
      <c r="B24" s="78">
        <v>210</v>
      </c>
      <c r="C24" s="78">
        <v>0</v>
      </c>
      <c r="D24" s="78">
        <v>0</v>
      </c>
      <c r="E24" s="78">
        <v>0</v>
      </c>
      <c r="F24" s="78">
        <v>0</v>
      </c>
      <c r="G24" s="78">
        <v>210</v>
      </c>
      <c r="H24" s="78">
        <v>296.83999999999997</v>
      </c>
      <c r="I24" s="78">
        <v>0</v>
      </c>
      <c r="J24" s="78">
        <v>0</v>
      </c>
      <c r="K24" s="78">
        <v>6737875.3899999997</v>
      </c>
      <c r="L24" s="78">
        <v>553752.93999999994</v>
      </c>
      <c r="M24" s="78">
        <v>0</v>
      </c>
      <c r="N24" s="78">
        <v>0</v>
      </c>
      <c r="O24" s="78"/>
      <c r="P24" s="78">
        <v>0</v>
      </c>
      <c r="Q24" s="78">
        <v>0</v>
      </c>
      <c r="R24" s="78">
        <v>0</v>
      </c>
      <c r="S24" s="79"/>
    </row>
    <row r="25" spans="2:19" ht="12" customHeight="1" x14ac:dyDescent="0.25">
      <c r="B25" s="78">
        <v>220</v>
      </c>
      <c r="C25" s="78">
        <v>0</v>
      </c>
      <c r="D25" s="78">
        <v>0</v>
      </c>
      <c r="E25" s="78">
        <v>0</v>
      </c>
      <c r="F25" s="78">
        <v>0</v>
      </c>
      <c r="G25" s="78">
        <v>220</v>
      </c>
      <c r="H25" s="78">
        <v>286.83999999999997</v>
      </c>
      <c r="I25" s="78">
        <v>0</v>
      </c>
      <c r="J25" s="78">
        <v>0</v>
      </c>
      <c r="K25" s="78">
        <v>6737875.3899999997</v>
      </c>
      <c r="L25" s="78">
        <v>553752.93999999994</v>
      </c>
      <c r="M25" s="78">
        <v>0</v>
      </c>
      <c r="N25" s="78">
        <v>0</v>
      </c>
      <c r="O25" s="78"/>
      <c r="P25" s="78">
        <v>0</v>
      </c>
      <c r="Q25" s="78">
        <v>0</v>
      </c>
      <c r="R25" s="78">
        <v>0</v>
      </c>
      <c r="S25" s="79"/>
    </row>
    <row r="26" spans="2:19" ht="12" customHeight="1" x14ac:dyDescent="0.25">
      <c r="B26" s="78">
        <v>230</v>
      </c>
      <c r="C26" s="78">
        <v>0</v>
      </c>
      <c r="D26" s="78">
        <v>0</v>
      </c>
      <c r="E26" s="78">
        <v>0</v>
      </c>
      <c r="F26" s="78">
        <v>0</v>
      </c>
      <c r="G26" s="78">
        <v>230</v>
      </c>
      <c r="H26" s="78">
        <v>276.83999999999997</v>
      </c>
      <c r="I26" s="78">
        <v>0</v>
      </c>
      <c r="J26" s="78">
        <v>0</v>
      </c>
      <c r="K26" s="78">
        <v>6737875.3899999997</v>
      </c>
      <c r="L26" s="78">
        <v>553752.93999999994</v>
      </c>
      <c r="M26" s="78">
        <v>0</v>
      </c>
      <c r="N26" s="78">
        <v>0</v>
      </c>
      <c r="O26" s="78"/>
      <c r="P26" s="78">
        <v>0</v>
      </c>
      <c r="Q26" s="78">
        <v>0</v>
      </c>
      <c r="R26" s="78">
        <v>0</v>
      </c>
      <c r="S26" s="79"/>
    </row>
    <row r="27" spans="2:19" ht="12" customHeight="1" x14ac:dyDescent="0.25">
      <c r="B27" s="78">
        <v>240</v>
      </c>
      <c r="C27" s="78">
        <v>0</v>
      </c>
      <c r="D27" s="78">
        <v>0</v>
      </c>
      <c r="E27" s="78">
        <v>0</v>
      </c>
      <c r="F27" s="78">
        <v>0</v>
      </c>
      <c r="G27" s="78">
        <v>240</v>
      </c>
      <c r="H27" s="78">
        <v>266.83999999999997</v>
      </c>
      <c r="I27" s="78">
        <v>0</v>
      </c>
      <c r="J27" s="78">
        <v>0</v>
      </c>
      <c r="K27" s="78">
        <v>6737875.3899999997</v>
      </c>
      <c r="L27" s="78">
        <v>553752.93999999994</v>
      </c>
      <c r="M27" s="78">
        <v>0</v>
      </c>
      <c r="N27" s="78">
        <v>0</v>
      </c>
      <c r="O27" s="78"/>
      <c r="P27" s="78">
        <v>0</v>
      </c>
      <c r="Q27" s="78">
        <v>0</v>
      </c>
      <c r="R27" s="78">
        <v>0</v>
      </c>
      <c r="S27" s="79"/>
    </row>
    <row r="28" spans="2:19" ht="12" customHeight="1" x14ac:dyDescent="0.25">
      <c r="B28" s="78">
        <v>250</v>
      </c>
      <c r="C28" s="78">
        <v>0</v>
      </c>
      <c r="D28" s="78">
        <v>0</v>
      </c>
      <c r="E28" s="78">
        <v>0</v>
      </c>
      <c r="F28" s="78">
        <v>0</v>
      </c>
      <c r="G28" s="78">
        <v>250</v>
      </c>
      <c r="H28" s="78">
        <v>256.83999999999997</v>
      </c>
      <c r="I28" s="78">
        <v>0</v>
      </c>
      <c r="J28" s="78">
        <v>0</v>
      </c>
      <c r="K28" s="78">
        <v>6737875.3899999997</v>
      </c>
      <c r="L28" s="78">
        <v>553752.93999999994</v>
      </c>
      <c r="M28" s="78">
        <v>0</v>
      </c>
      <c r="N28" s="78">
        <v>0</v>
      </c>
      <c r="O28" s="78"/>
      <c r="P28" s="78">
        <v>0</v>
      </c>
      <c r="Q28" s="78">
        <v>0</v>
      </c>
      <c r="R28" s="78">
        <v>0</v>
      </c>
      <c r="S28" s="79"/>
    </row>
    <row r="29" spans="2:19" ht="12" customHeight="1" x14ac:dyDescent="0.25">
      <c r="B29" s="78">
        <v>260</v>
      </c>
      <c r="C29" s="78">
        <v>0</v>
      </c>
      <c r="D29" s="78">
        <v>0</v>
      </c>
      <c r="E29" s="78">
        <v>0</v>
      </c>
      <c r="F29" s="78">
        <v>0</v>
      </c>
      <c r="G29" s="78">
        <v>260</v>
      </c>
      <c r="H29" s="78">
        <v>246.84</v>
      </c>
      <c r="I29" s="78">
        <v>0</v>
      </c>
      <c r="J29" s="78">
        <v>0</v>
      </c>
      <c r="K29" s="78">
        <v>6737875.3899999997</v>
      </c>
      <c r="L29" s="78">
        <v>553752.93999999994</v>
      </c>
      <c r="M29" s="78">
        <v>0</v>
      </c>
      <c r="N29" s="78">
        <v>0</v>
      </c>
      <c r="O29" s="78"/>
      <c r="P29" s="78">
        <v>0</v>
      </c>
      <c r="Q29" s="78">
        <v>0</v>
      </c>
      <c r="R29" s="78">
        <v>0</v>
      </c>
      <c r="S29" s="79"/>
    </row>
    <row r="30" spans="2:19" ht="12" customHeight="1" x14ac:dyDescent="0.25">
      <c r="B30" s="78">
        <v>270</v>
      </c>
      <c r="C30" s="78">
        <v>0</v>
      </c>
      <c r="D30" s="78">
        <v>0</v>
      </c>
      <c r="E30" s="78">
        <v>0</v>
      </c>
      <c r="F30" s="78">
        <v>0</v>
      </c>
      <c r="G30" s="78">
        <v>270</v>
      </c>
      <c r="H30" s="78">
        <v>236.84</v>
      </c>
      <c r="I30" s="78">
        <v>0</v>
      </c>
      <c r="J30" s="78">
        <v>0</v>
      </c>
      <c r="K30" s="78">
        <v>6737875.3899999997</v>
      </c>
      <c r="L30" s="78">
        <v>553752.93999999994</v>
      </c>
      <c r="M30" s="78">
        <v>0</v>
      </c>
      <c r="N30" s="78">
        <v>0</v>
      </c>
      <c r="O30" s="78"/>
      <c r="P30" s="78">
        <v>0</v>
      </c>
      <c r="Q30" s="78">
        <v>0</v>
      </c>
      <c r="R30" s="78">
        <v>0</v>
      </c>
      <c r="S30" s="79"/>
    </row>
    <row r="31" spans="2:19" ht="12" customHeight="1" x14ac:dyDescent="0.25">
      <c r="B31" s="78">
        <v>280</v>
      </c>
      <c r="C31" s="78">
        <v>0</v>
      </c>
      <c r="D31" s="78">
        <v>0</v>
      </c>
      <c r="E31" s="78">
        <v>0</v>
      </c>
      <c r="F31" s="78">
        <v>0</v>
      </c>
      <c r="G31" s="78">
        <v>280</v>
      </c>
      <c r="H31" s="78">
        <v>226.84</v>
      </c>
      <c r="I31" s="78">
        <v>0</v>
      </c>
      <c r="J31" s="78">
        <v>0</v>
      </c>
      <c r="K31" s="78">
        <v>6737875.3899999997</v>
      </c>
      <c r="L31" s="78">
        <v>553752.93999999994</v>
      </c>
      <c r="M31" s="78">
        <v>0</v>
      </c>
      <c r="N31" s="78">
        <v>0</v>
      </c>
      <c r="O31" s="78"/>
      <c r="P31" s="78">
        <v>0</v>
      </c>
      <c r="Q31" s="78">
        <v>0</v>
      </c>
      <c r="R31" s="78">
        <v>0</v>
      </c>
      <c r="S31" s="79"/>
    </row>
    <row r="32" spans="2:19" ht="12" customHeight="1" x14ac:dyDescent="0.25">
      <c r="B32" s="78">
        <v>290</v>
      </c>
      <c r="C32" s="78">
        <v>0</v>
      </c>
      <c r="D32" s="78">
        <v>0</v>
      </c>
      <c r="E32" s="78">
        <v>0</v>
      </c>
      <c r="F32" s="78">
        <v>0</v>
      </c>
      <c r="G32" s="78">
        <v>290</v>
      </c>
      <c r="H32" s="78">
        <v>216.84</v>
      </c>
      <c r="I32" s="78">
        <v>0</v>
      </c>
      <c r="J32" s="78">
        <v>0</v>
      </c>
      <c r="K32" s="78">
        <v>6737875.3899999997</v>
      </c>
      <c r="L32" s="78">
        <v>553752.93999999994</v>
      </c>
      <c r="M32" s="78">
        <v>0</v>
      </c>
      <c r="N32" s="78">
        <v>0</v>
      </c>
      <c r="O32" s="78"/>
      <c r="P32" s="78">
        <v>0</v>
      </c>
      <c r="Q32" s="78">
        <v>0</v>
      </c>
      <c r="R32" s="78">
        <v>0</v>
      </c>
      <c r="S32" s="79"/>
    </row>
    <row r="33" spans="2:19" ht="12" customHeight="1" x14ac:dyDescent="0.25">
      <c r="B33" s="78">
        <v>300</v>
      </c>
      <c r="C33" s="78">
        <v>0</v>
      </c>
      <c r="D33" s="78">
        <v>0</v>
      </c>
      <c r="E33" s="78">
        <v>0</v>
      </c>
      <c r="F33" s="78">
        <v>0</v>
      </c>
      <c r="G33" s="78">
        <v>300</v>
      </c>
      <c r="H33" s="78">
        <v>206.84</v>
      </c>
      <c r="I33" s="78">
        <v>0</v>
      </c>
      <c r="J33" s="78">
        <v>0</v>
      </c>
      <c r="K33" s="78">
        <v>6737875.3899999997</v>
      </c>
      <c r="L33" s="78">
        <v>553752.93999999994</v>
      </c>
      <c r="M33" s="78">
        <v>0</v>
      </c>
      <c r="N33" s="78">
        <v>0</v>
      </c>
      <c r="O33" s="78"/>
      <c r="P33" s="78">
        <v>0</v>
      </c>
      <c r="Q33" s="78">
        <v>0</v>
      </c>
      <c r="R33" s="78">
        <v>0</v>
      </c>
      <c r="S33" s="79"/>
    </row>
    <row r="34" spans="2:19" ht="12" customHeight="1" x14ac:dyDescent="0.25">
      <c r="B34" s="78">
        <v>310</v>
      </c>
      <c r="C34" s="78">
        <v>0</v>
      </c>
      <c r="D34" s="78">
        <v>0</v>
      </c>
      <c r="E34" s="78">
        <v>0</v>
      </c>
      <c r="F34" s="78">
        <v>0</v>
      </c>
      <c r="G34" s="78">
        <v>310</v>
      </c>
      <c r="H34" s="78">
        <v>196.84</v>
      </c>
      <c r="I34" s="78">
        <v>0</v>
      </c>
      <c r="J34" s="78">
        <v>0</v>
      </c>
      <c r="K34" s="78">
        <v>6737875.3899999997</v>
      </c>
      <c r="L34" s="78">
        <v>553752.93999999994</v>
      </c>
      <c r="M34" s="78">
        <v>0</v>
      </c>
      <c r="N34" s="78">
        <v>0</v>
      </c>
      <c r="O34" s="78"/>
      <c r="P34" s="78">
        <v>0</v>
      </c>
      <c r="Q34" s="78">
        <v>0</v>
      </c>
      <c r="R34" s="78">
        <v>0</v>
      </c>
      <c r="S34" s="79"/>
    </row>
    <row r="35" spans="2:19" ht="12" customHeight="1" x14ac:dyDescent="0.25">
      <c r="B35" s="78">
        <v>320</v>
      </c>
      <c r="C35" s="78">
        <v>0</v>
      </c>
      <c r="D35" s="78">
        <v>0</v>
      </c>
      <c r="E35" s="78">
        <v>0</v>
      </c>
      <c r="F35" s="78">
        <v>0</v>
      </c>
      <c r="G35" s="78">
        <v>320</v>
      </c>
      <c r="H35" s="78">
        <v>186.84</v>
      </c>
      <c r="I35" s="78">
        <v>0</v>
      </c>
      <c r="J35" s="78">
        <v>0</v>
      </c>
      <c r="K35" s="78">
        <v>6737875.3899999997</v>
      </c>
      <c r="L35" s="78">
        <v>553752.93999999994</v>
      </c>
      <c r="M35" s="78">
        <v>0</v>
      </c>
      <c r="N35" s="78">
        <v>0</v>
      </c>
      <c r="O35" s="78"/>
      <c r="P35" s="78">
        <v>0</v>
      </c>
      <c r="Q35" s="78">
        <v>0</v>
      </c>
      <c r="R35" s="78">
        <v>0</v>
      </c>
      <c r="S35" s="79"/>
    </row>
    <row r="36" spans="2:19" ht="12" customHeight="1" x14ac:dyDescent="0.25">
      <c r="B36" s="78">
        <v>330</v>
      </c>
      <c r="C36" s="78">
        <v>0</v>
      </c>
      <c r="D36" s="78">
        <v>0</v>
      </c>
      <c r="E36" s="78">
        <v>0</v>
      </c>
      <c r="F36" s="78">
        <v>0</v>
      </c>
      <c r="G36" s="78">
        <v>330</v>
      </c>
      <c r="H36" s="78">
        <v>176.84</v>
      </c>
      <c r="I36" s="78">
        <v>0</v>
      </c>
      <c r="J36" s="78">
        <v>0</v>
      </c>
      <c r="K36" s="78">
        <v>6737875.3899999997</v>
      </c>
      <c r="L36" s="78">
        <v>553752.93999999994</v>
      </c>
      <c r="M36" s="78">
        <v>0</v>
      </c>
      <c r="N36" s="78">
        <v>0</v>
      </c>
      <c r="O36" s="78"/>
      <c r="P36" s="78">
        <v>0</v>
      </c>
      <c r="Q36" s="78">
        <v>0</v>
      </c>
      <c r="R36" s="78">
        <v>0</v>
      </c>
      <c r="S36" s="79"/>
    </row>
    <row r="37" spans="2:19" ht="12" customHeight="1" x14ac:dyDescent="0.25">
      <c r="B37" s="78">
        <v>340</v>
      </c>
      <c r="C37" s="78">
        <v>0</v>
      </c>
      <c r="D37" s="78">
        <v>0</v>
      </c>
      <c r="E37" s="78">
        <v>0</v>
      </c>
      <c r="F37" s="78">
        <v>0</v>
      </c>
      <c r="G37" s="78">
        <v>340</v>
      </c>
      <c r="H37" s="78">
        <v>166.84</v>
      </c>
      <c r="I37" s="78">
        <v>0</v>
      </c>
      <c r="J37" s="78">
        <v>0</v>
      </c>
      <c r="K37" s="78">
        <v>6737875.3899999997</v>
      </c>
      <c r="L37" s="78">
        <v>553752.93999999994</v>
      </c>
      <c r="M37" s="78">
        <v>0</v>
      </c>
      <c r="N37" s="78">
        <v>0</v>
      </c>
      <c r="O37" s="78"/>
      <c r="P37" s="78">
        <v>0</v>
      </c>
      <c r="Q37" s="78">
        <v>0</v>
      </c>
      <c r="R37" s="78">
        <v>0</v>
      </c>
      <c r="S37" s="79"/>
    </row>
    <row r="38" spans="2:19" ht="12" customHeight="1" x14ac:dyDescent="0.25">
      <c r="B38" s="78">
        <v>350</v>
      </c>
      <c r="C38" s="78">
        <v>0</v>
      </c>
      <c r="D38" s="78">
        <v>0</v>
      </c>
      <c r="E38" s="78">
        <v>0</v>
      </c>
      <c r="F38" s="78">
        <v>0</v>
      </c>
      <c r="G38" s="78">
        <v>350</v>
      </c>
      <c r="H38" s="78">
        <v>156.84</v>
      </c>
      <c r="I38" s="78">
        <v>0</v>
      </c>
      <c r="J38" s="78">
        <v>0</v>
      </c>
      <c r="K38" s="78">
        <v>6737875.3899999997</v>
      </c>
      <c r="L38" s="78">
        <v>553752.93999999994</v>
      </c>
      <c r="M38" s="78">
        <v>0</v>
      </c>
      <c r="N38" s="78">
        <v>0</v>
      </c>
      <c r="O38" s="78"/>
      <c r="P38" s="78">
        <v>0</v>
      </c>
      <c r="Q38" s="78">
        <v>0</v>
      </c>
      <c r="R38" s="78">
        <v>0</v>
      </c>
      <c r="S38" s="79"/>
    </row>
    <row r="39" spans="2:19" ht="12" customHeight="1" x14ac:dyDescent="0.25">
      <c r="B39" s="78">
        <v>360</v>
      </c>
      <c r="C39" s="78">
        <v>0</v>
      </c>
      <c r="D39" s="78">
        <v>0</v>
      </c>
      <c r="E39" s="78">
        <v>0</v>
      </c>
      <c r="F39" s="78">
        <v>0</v>
      </c>
      <c r="G39" s="78">
        <v>360</v>
      </c>
      <c r="H39" s="78">
        <v>146.84</v>
      </c>
      <c r="I39" s="78">
        <v>0</v>
      </c>
      <c r="J39" s="78">
        <v>0</v>
      </c>
      <c r="K39" s="78">
        <v>6737875.3899999997</v>
      </c>
      <c r="L39" s="78">
        <v>553752.93999999994</v>
      </c>
      <c r="M39" s="78">
        <v>0</v>
      </c>
      <c r="N39" s="78">
        <v>0</v>
      </c>
      <c r="O39" s="78"/>
      <c r="P39" s="78">
        <v>0</v>
      </c>
      <c r="Q39" s="78">
        <v>0</v>
      </c>
      <c r="R39" s="78">
        <v>0</v>
      </c>
      <c r="S39" s="79"/>
    </row>
    <row r="40" spans="2:19" ht="12" customHeight="1" x14ac:dyDescent="0.25">
      <c r="B40" s="78">
        <v>370</v>
      </c>
      <c r="C40" s="78">
        <v>0</v>
      </c>
      <c r="D40" s="78">
        <v>0</v>
      </c>
      <c r="E40" s="78">
        <v>0</v>
      </c>
      <c r="F40" s="78">
        <v>0</v>
      </c>
      <c r="G40" s="78">
        <v>370</v>
      </c>
      <c r="H40" s="78">
        <v>136.84</v>
      </c>
      <c r="I40" s="78">
        <v>0</v>
      </c>
      <c r="J40" s="78">
        <v>0</v>
      </c>
      <c r="K40" s="78">
        <v>6737875.3899999997</v>
      </c>
      <c r="L40" s="78">
        <v>553752.93999999994</v>
      </c>
      <c r="M40" s="78">
        <v>0</v>
      </c>
      <c r="N40" s="78">
        <v>0</v>
      </c>
      <c r="O40" s="78"/>
      <c r="P40" s="78">
        <v>0</v>
      </c>
      <c r="Q40" s="78">
        <v>0</v>
      </c>
      <c r="R40" s="78">
        <v>0</v>
      </c>
      <c r="S40" s="79"/>
    </row>
    <row r="41" spans="2:19" ht="12" customHeight="1" x14ac:dyDescent="0.25">
      <c r="B41" s="78">
        <v>380</v>
      </c>
      <c r="C41" s="78">
        <v>0</v>
      </c>
      <c r="D41" s="78">
        <v>0</v>
      </c>
      <c r="E41" s="78">
        <v>0</v>
      </c>
      <c r="F41" s="78">
        <v>0</v>
      </c>
      <c r="G41" s="78">
        <v>380</v>
      </c>
      <c r="H41" s="78">
        <v>126.84</v>
      </c>
      <c r="I41" s="78">
        <v>0</v>
      </c>
      <c r="J41" s="78">
        <v>0</v>
      </c>
      <c r="K41" s="78">
        <v>6737875.3899999997</v>
      </c>
      <c r="L41" s="78">
        <v>553752.93999999994</v>
      </c>
      <c r="M41" s="78">
        <v>0</v>
      </c>
      <c r="N41" s="78">
        <v>0</v>
      </c>
      <c r="O41" s="78"/>
      <c r="P41" s="78">
        <v>0</v>
      </c>
      <c r="Q41" s="78">
        <v>0</v>
      </c>
      <c r="R41" s="78">
        <v>0</v>
      </c>
      <c r="S41" s="79"/>
    </row>
    <row r="42" spans="2:19" ht="12" customHeight="1" x14ac:dyDescent="0.25">
      <c r="B42" s="78">
        <v>390</v>
      </c>
      <c r="C42" s="78">
        <v>0</v>
      </c>
      <c r="D42" s="78">
        <v>0</v>
      </c>
      <c r="E42" s="78">
        <v>0</v>
      </c>
      <c r="F42" s="78">
        <v>0</v>
      </c>
      <c r="G42" s="78">
        <v>390</v>
      </c>
      <c r="H42" s="78">
        <v>116.84</v>
      </c>
      <c r="I42" s="78">
        <v>0</v>
      </c>
      <c r="J42" s="78">
        <v>0</v>
      </c>
      <c r="K42" s="78">
        <v>6737875.3899999997</v>
      </c>
      <c r="L42" s="78">
        <v>553752.93999999994</v>
      </c>
      <c r="M42" s="78">
        <v>0</v>
      </c>
      <c r="N42" s="78">
        <v>0</v>
      </c>
      <c r="O42" s="78"/>
      <c r="P42" s="78">
        <v>0</v>
      </c>
      <c r="Q42" s="78">
        <v>0</v>
      </c>
      <c r="R42" s="78">
        <v>0</v>
      </c>
      <c r="S42" s="79"/>
    </row>
    <row r="43" spans="2:19" ht="12" customHeight="1" x14ac:dyDescent="0.25">
      <c r="B43" s="78">
        <v>400</v>
      </c>
      <c r="C43" s="78">
        <v>0</v>
      </c>
      <c r="D43" s="78">
        <v>0</v>
      </c>
      <c r="E43" s="78">
        <v>0</v>
      </c>
      <c r="F43" s="78">
        <v>0</v>
      </c>
      <c r="G43" s="78">
        <v>400</v>
      </c>
      <c r="H43" s="78">
        <v>106.84</v>
      </c>
      <c r="I43" s="78">
        <v>0</v>
      </c>
      <c r="J43" s="78">
        <v>0</v>
      </c>
      <c r="K43" s="78">
        <v>6737875.3899999997</v>
      </c>
      <c r="L43" s="78">
        <v>553752.93999999994</v>
      </c>
      <c r="M43" s="78">
        <v>0</v>
      </c>
      <c r="N43" s="78">
        <v>0</v>
      </c>
      <c r="O43" s="78"/>
      <c r="P43" s="78">
        <v>0</v>
      </c>
      <c r="Q43" s="78">
        <v>0</v>
      </c>
      <c r="R43" s="78">
        <v>0</v>
      </c>
      <c r="S43" s="79"/>
    </row>
    <row r="44" spans="2:19" ht="12" customHeight="1" x14ac:dyDescent="0.25">
      <c r="B44" s="78">
        <v>410</v>
      </c>
      <c r="C44" s="78">
        <v>0</v>
      </c>
      <c r="D44" s="78">
        <v>0</v>
      </c>
      <c r="E44" s="78">
        <v>0</v>
      </c>
      <c r="F44" s="78">
        <v>0</v>
      </c>
      <c r="G44" s="78">
        <v>410</v>
      </c>
      <c r="H44" s="78">
        <v>96.84</v>
      </c>
      <c r="I44" s="78">
        <v>0</v>
      </c>
      <c r="J44" s="78">
        <v>0</v>
      </c>
      <c r="K44" s="78">
        <v>6737875.3899999997</v>
      </c>
      <c r="L44" s="78">
        <v>553752.93999999994</v>
      </c>
      <c r="M44" s="78">
        <v>0</v>
      </c>
      <c r="N44" s="78">
        <v>0</v>
      </c>
      <c r="O44" s="78"/>
      <c r="P44" s="78">
        <v>0</v>
      </c>
      <c r="Q44" s="78">
        <v>0</v>
      </c>
      <c r="R44" s="78">
        <v>0</v>
      </c>
      <c r="S44" s="79"/>
    </row>
    <row r="45" spans="2:19" ht="12" customHeight="1" x14ac:dyDescent="0.25">
      <c r="B45" s="78">
        <v>420</v>
      </c>
      <c r="C45" s="78">
        <v>0</v>
      </c>
      <c r="D45" s="78">
        <v>0</v>
      </c>
      <c r="E45" s="78">
        <v>0</v>
      </c>
      <c r="F45" s="78">
        <v>0</v>
      </c>
      <c r="G45" s="78">
        <v>420</v>
      </c>
      <c r="H45" s="78">
        <v>86.84</v>
      </c>
      <c r="I45" s="78">
        <v>0</v>
      </c>
      <c r="J45" s="78">
        <v>0</v>
      </c>
      <c r="K45" s="78">
        <v>6737875.3899999997</v>
      </c>
      <c r="L45" s="78">
        <v>553752.93999999994</v>
      </c>
      <c r="M45" s="78">
        <v>0</v>
      </c>
      <c r="N45" s="78">
        <v>0</v>
      </c>
      <c r="O45" s="78"/>
      <c r="P45" s="78">
        <v>0</v>
      </c>
      <c r="Q45" s="78">
        <v>0</v>
      </c>
      <c r="R45" s="78">
        <v>0</v>
      </c>
      <c r="S45" s="79"/>
    </row>
    <row r="46" spans="2:19" ht="12" customHeight="1" x14ac:dyDescent="0.25">
      <c r="B46" s="78">
        <v>430</v>
      </c>
      <c r="C46" s="78">
        <v>0</v>
      </c>
      <c r="D46" s="78">
        <v>0</v>
      </c>
      <c r="E46" s="78">
        <v>0</v>
      </c>
      <c r="F46" s="78">
        <v>0</v>
      </c>
      <c r="G46" s="78">
        <v>430</v>
      </c>
      <c r="H46" s="78">
        <v>76.84</v>
      </c>
      <c r="I46" s="78">
        <v>0</v>
      </c>
      <c r="J46" s="78">
        <v>0</v>
      </c>
      <c r="K46" s="78">
        <v>6737875.3899999997</v>
      </c>
      <c r="L46" s="78">
        <v>553752.93999999994</v>
      </c>
      <c r="M46" s="78">
        <v>0</v>
      </c>
      <c r="N46" s="78">
        <v>0</v>
      </c>
      <c r="O46" s="78"/>
      <c r="P46" s="78">
        <v>0</v>
      </c>
      <c r="Q46" s="78">
        <v>0</v>
      </c>
      <c r="R46" s="78">
        <v>0</v>
      </c>
      <c r="S46" s="79"/>
    </row>
    <row r="47" spans="2:19" ht="12" customHeight="1" x14ac:dyDescent="0.25">
      <c r="B47" s="78">
        <v>440</v>
      </c>
      <c r="C47" s="78">
        <v>0</v>
      </c>
      <c r="D47" s="78">
        <v>0</v>
      </c>
      <c r="E47" s="78">
        <v>0</v>
      </c>
      <c r="F47" s="78">
        <v>0</v>
      </c>
      <c r="G47" s="78">
        <v>440</v>
      </c>
      <c r="H47" s="78">
        <v>66.84</v>
      </c>
      <c r="I47" s="78">
        <v>0</v>
      </c>
      <c r="J47" s="78">
        <v>0</v>
      </c>
      <c r="K47" s="78">
        <v>6737875.3899999997</v>
      </c>
      <c r="L47" s="78">
        <v>553752.93999999994</v>
      </c>
      <c r="M47" s="78">
        <v>0</v>
      </c>
      <c r="N47" s="78">
        <v>0</v>
      </c>
      <c r="O47" s="78"/>
      <c r="P47" s="78">
        <v>0</v>
      </c>
      <c r="Q47" s="78">
        <v>0</v>
      </c>
      <c r="R47" s="78">
        <v>0</v>
      </c>
      <c r="S47" s="79"/>
    </row>
    <row r="48" spans="2:19" ht="12" customHeight="1" x14ac:dyDescent="0.25">
      <c r="B48" s="78">
        <v>450</v>
      </c>
      <c r="C48" s="78">
        <v>0</v>
      </c>
      <c r="D48" s="78">
        <v>0</v>
      </c>
      <c r="E48" s="78">
        <v>0</v>
      </c>
      <c r="F48" s="78">
        <v>0</v>
      </c>
      <c r="G48" s="78">
        <v>450</v>
      </c>
      <c r="H48" s="78">
        <v>56.84</v>
      </c>
      <c r="I48" s="78">
        <v>0</v>
      </c>
      <c r="J48" s="78">
        <v>0</v>
      </c>
      <c r="K48" s="78">
        <v>6737875.3899999997</v>
      </c>
      <c r="L48" s="78">
        <v>553752.93999999994</v>
      </c>
      <c r="M48" s="78">
        <v>0</v>
      </c>
      <c r="N48" s="78">
        <v>0</v>
      </c>
      <c r="O48" s="78"/>
      <c r="P48" s="78">
        <v>0</v>
      </c>
      <c r="Q48" s="78">
        <v>0</v>
      </c>
      <c r="R48" s="78">
        <v>0</v>
      </c>
      <c r="S48" s="79"/>
    </row>
    <row r="49" spans="2:19" ht="12" customHeight="1" x14ac:dyDescent="0.25">
      <c r="B49" s="78">
        <v>460</v>
      </c>
      <c r="C49" s="78">
        <v>0</v>
      </c>
      <c r="D49" s="78">
        <v>0</v>
      </c>
      <c r="E49" s="78">
        <v>0</v>
      </c>
      <c r="F49" s="78">
        <v>0</v>
      </c>
      <c r="G49" s="78">
        <v>460</v>
      </c>
      <c r="H49" s="78">
        <v>46.84</v>
      </c>
      <c r="I49" s="78">
        <v>0</v>
      </c>
      <c r="J49" s="78">
        <v>0</v>
      </c>
      <c r="K49" s="78">
        <v>6737875.3899999997</v>
      </c>
      <c r="L49" s="78">
        <v>553752.93999999994</v>
      </c>
      <c r="M49" s="78">
        <v>0</v>
      </c>
      <c r="N49" s="78">
        <v>0</v>
      </c>
      <c r="O49" s="78"/>
      <c r="P49" s="78">
        <v>0</v>
      </c>
      <c r="Q49" s="78">
        <v>0</v>
      </c>
      <c r="R49" s="78">
        <v>0</v>
      </c>
      <c r="S49" s="79"/>
    </row>
    <row r="50" spans="2:19" ht="12" customHeight="1" x14ac:dyDescent="0.25">
      <c r="B50" s="78">
        <v>470</v>
      </c>
      <c r="C50" s="78">
        <v>0</v>
      </c>
      <c r="D50" s="78">
        <v>0</v>
      </c>
      <c r="E50" s="78">
        <v>0</v>
      </c>
      <c r="F50" s="78">
        <v>0</v>
      </c>
      <c r="G50" s="78">
        <v>470</v>
      </c>
      <c r="H50" s="78">
        <v>36.840000000000003</v>
      </c>
      <c r="I50" s="78">
        <v>0</v>
      </c>
      <c r="J50" s="78">
        <v>0</v>
      </c>
      <c r="K50" s="78">
        <v>6737875.3899999997</v>
      </c>
      <c r="L50" s="78">
        <v>553752.93999999994</v>
      </c>
      <c r="M50" s="78">
        <v>0</v>
      </c>
      <c r="N50" s="78">
        <v>0</v>
      </c>
      <c r="O50" s="78"/>
      <c r="P50" s="78">
        <v>0</v>
      </c>
      <c r="Q50" s="78">
        <v>0</v>
      </c>
      <c r="R50" s="78">
        <v>0</v>
      </c>
      <c r="S50" s="79"/>
    </row>
    <row r="51" spans="2:19" ht="12" customHeight="1" x14ac:dyDescent="0.25">
      <c r="B51" s="78">
        <v>480</v>
      </c>
      <c r="C51" s="78">
        <v>0</v>
      </c>
      <c r="D51" s="78">
        <v>0</v>
      </c>
      <c r="E51" s="78">
        <v>0</v>
      </c>
      <c r="F51" s="78">
        <v>0</v>
      </c>
      <c r="G51" s="78">
        <v>480</v>
      </c>
      <c r="H51" s="78">
        <v>26.84</v>
      </c>
      <c r="I51" s="78">
        <v>0</v>
      </c>
      <c r="J51" s="78">
        <v>0</v>
      </c>
      <c r="K51" s="78">
        <v>6737875.3899999997</v>
      </c>
      <c r="L51" s="78">
        <v>553752.93999999994</v>
      </c>
      <c r="M51" s="78">
        <v>0</v>
      </c>
      <c r="N51" s="78">
        <v>0</v>
      </c>
      <c r="O51" s="78"/>
      <c r="P51" s="78">
        <v>0</v>
      </c>
      <c r="Q51" s="78">
        <v>0</v>
      </c>
      <c r="R51" s="78">
        <v>0</v>
      </c>
      <c r="S51" s="79"/>
    </row>
    <row r="52" spans="2:19" ht="12" customHeight="1" x14ac:dyDescent="0.25">
      <c r="B52" s="78">
        <v>490</v>
      </c>
      <c r="C52" s="78">
        <v>0</v>
      </c>
      <c r="D52" s="78">
        <v>0</v>
      </c>
      <c r="E52" s="78">
        <v>0</v>
      </c>
      <c r="F52" s="78">
        <v>0</v>
      </c>
      <c r="G52" s="78">
        <v>490</v>
      </c>
      <c r="H52" s="78">
        <v>16.84</v>
      </c>
      <c r="I52" s="78">
        <v>0</v>
      </c>
      <c r="J52" s="78">
        <v>0</v>
      </c>
      <c r="K52" s="78">
        <v>6737875.3899999997</v>
      </c>
      <c r="L52" s="78">
        <v>553752.93999999994</v>
      </c>
      <c r="M52" s="78">
        <v>0</v>
      </c>
      <c r="N52" s="78">
        <v>0</v>
      </c>
      <c r="O52" s="78"/>
      <c r="P52" s="78">
        <v>0</v>
      </c>
      <c r="Q52" s="78">
        <v>0</v>
      </c>
      <c r="R52" s="78">
        <v>0</v>
      </c>
      <c r="S52" s="79"/>
    </row>
    <row r="53" spans="2:19" ht="12" customHeight="1" x14ac:dyDescent="0.25">
      <c r="B53" s="78">
        <v>500</v>
      </c>
      <c r="C53" s="78">
        <v>0</v>
      </c>
      <c r="D53" s="78">
        <v>0</v>
      </c>
      <c r="E53" s="78">
        <v>0</v>
      </c>
      <c r="F53" s="78">
        <v>0</v>
      </c>
      <c r="G53" s="78">
        <v>500</v>
      </c>
      <c r="H53" s="78">
        <v>6.84</v>
      </c>
      <c r="I53" s="78">
        <v>0</v>
      </c>
      <c r="J53" s="78">
        <v>0</v>
      </c>
      <c r="K53" s="78">
        <v>6737875.3899999997</v>
      </c>
      <c r="L53" s="78">
        <v>553752.93999999994</v>
      </c>
      <c r="M53" s="78">
        <v>0</v>
      </c>
      <c r="N53" s="78">
        <v>0</v>
      </c>
      <c r="O53" s="78"/>
      <c r="P53" s="78">
        <v>0</v>
      </c>
      <c r="Q53" s="78">
        <v>0</v>
      </c>
      <c r="R53" s="78">
        <v>0</v>
      </c>
      <c r="S53" s="79"/>
    </row>
    <row r="54" spans="2:19" ht="12" customHeight="1" x14ac:dyDescent="0.25">
      <c r="B54" s="78">
        <v>510</v>
      </c>
      <c r="C54" s="78">
        <v>0</v>
      </c>
      <c r="D54" s="78">
        <v>0</v>
      </c>
      <c r="E54" s="78">
        <v>0</v>
      </c>
      <c r="F54" s="78">
        <v>0</v>
      </c>
      <c r="G54" s="78">
        <v>510</v>
      </c>
      <c r="H54" s="78">
        <v>-3.16</v>
      </c>
      <c r="I54" s="78">
        <v>0</v>
      </c>
      <c r="J54" s="78">
        <v>0</v>
      </c>
      <c r="K54" s="78">
        <v>6737875.3899999997</v>
      </c>
      <c r="L54" s="78">
        <v>553752.93999999994</v>
      </c>
      <c r="M54" s="78">
        <v>0</v>
      </c>
      <c r="N54" s="78">
        <v>0</v>
      </c>
      <c r="O54" s="78"/>
      <c r="P54" s="78">
        <v>0</v>
      </c>
      <c r="Q54" s="78">
        <v>0</v>
      </c>
      <c r="R54" s="78">
        <v>0</v>
      </c>
      <c r="S54" s="79"/>
    </row>
    <row r="55" spans="2:19" ht="12" customHeight="1" x14ac:dyDescent="0.25">
      <c r="B55" s="78">
        <v>520</v>
      </c>
      <c r="C55" s="78">
        <v>0</v>
      </c>
      <c r="D55" s="78">
        <v>0</v>
      </c>
      <c r="E55" s="78">
        <v>0</v>
      </c>
      <c r="F55" s="78">
        <v>0</v>
      </c>
      <c r="G55" s="78">
        <v>520</v>
      </c>
      <c r="H55" s="78">
        <v>-13.16</v>
      </c>
      <c r="I55" s="78">
        <v>0</v>
      </c>
      <c r="J55" s="78">
        <v>0</v>
      </c>
      <c r="K55" s="78">
        <v>6737875.3899999997</v>
      </c>
      <c r="L55" s="78">
        <v>553752.93999999994</v>
      </c>
      <c r="M55" s="78">
        <v>0</v>
      </c>
      <c r="N55" s="78">
        <v>0</v>
      </c>
      <c r="O55" s="78"/>
      <c r="P55" s="78">
        <v>0</v>
      </c>
      <c r="Q55" s="78">
        <v>0</v>
      </c>
      <c r="R55" s="78">
        <v>0</v>
      </c>
      <c r="S55" s="79"/>
    </row>
    <row r="56" spans="2:19" ht="12" customHeight="1" x14ac:dyDescent="0.25">
      <c r="B56" s="78">
        <v>530</v>
      </c>
      <c r="C56" s="78">
        <v>0</v>
      </c>
      <c r="D56" s="78">
        <v>0</v>
      </c>
      <c r="E56" s="78">
        <v>0</v>
      </c>
      <c r="F56" s="78">
        <v>0</v>
      </c>
      <c r="G56" s="78">
        <v>530</v>
      </c>
      <c r="H56" s="78">
        <v>-23.16</v>
      </c>
      <c r="I56" s="78">
        <v>0</v>
      </c>
      <c r="J56" s="78">
        <v>0</v>
      </c>
      <c r="K56" s="78">
        <v>6737875.3899999997</v>
      </c>
      <c r="L56" s="78">
        <v>553752.93999999994</v>
      </c>
      <c r="M56" s="78">
        <v>0</v>
      </c>
      <c r="N56" s="78">
        <v>0</v>
      </c>
      <c r="O56" s="78"/>
      <c r="P56" s="78">
        <v>0</v>
      </c>
      <c r="Q56" s="78">
        <v>0</v>
      </c>
      <c r="R56" s="78">
        <v>0</v>
      </c>
      <c r="S56" s="79"/>
    </row>
    <row r="57" spans="2:19" ht="12" customHeight="1" x14ac:dyDescent="0.25">
      <c r="B57" s="78">
        <v>540</v>
      </c>
      <c r="C57" s="78">
        <v>0</v>
      </c>
      <c r="D57" s="78">
        <v>0</v>
      </c>
      <c r="E57" s="78">
        <v>0</v>
      </c>
      <c r="F57" s="78">
        <v>0</v>
      </c>
      <c r="G57" s="78">
        <v>540</v>
      </c>
      <c r="H57" s="78">
        <v>-33.159999999999997</v>
      </c>
      <c r="I57" s="78">
        <v>0</v>
      </c>
      <c r="J57" s="78">
        <v>0</v>
      </c>
      <c r="K57" s="78">
        <v>6737875.3899999997</v>
      </c>
      <c r="L57" s="78">
        <v>553752.93999999994</v>
      </c>
      <c r="M57" s="78">
        <v>0</v>
      </c>
      <c r="N57" s="78">
        <v>0</v>
      </c>
      <c r="O57" s="78"/>
      <c r="P57" s="78">
        <v>0</v>
      </c>
      <c r="Q57" s="78">
        <v>0</v>
      </c>
      <c r="R57" s="78">
        <v>0</v>
      </c>
      <c r="S57" s="79"/>
    </row>
    <row r="58" spans="2:19" ht="12" customHeight="1" x14ac:dyDescent="0.25">
      <c r="B58" s="78">
        <v>550</v>
      </c>
      <c r="C58" s="78">
        <v>0</v>
      </c>
      <c r="D58" s="78">
        <v>0</v>
      </c>
      <c r="E58" s="78">
        <v>0</v>
      </c>
      <c r="F58" s="78">
        <v>0</v>
      </c>
      <c r="G58" s="78">
        <v>550</v>
      </c>
      <c r="H58" s="78">
        <v>-43.16</v>
      </c>
      <c r="I58" s="78">
        <v>0</v>
      </c>
      <c r="J58" s="78">
        <v>0</v>
      </c>
      <c r="K58" s="78">
        <v>6737875.3899999997</v>
      </c>
      <c r="L58" s="78">
        <v>553752.93999999994</v>
      </c>
      <c r="M58" s="78">
        <v>0</v>
      </c>
      <c r="N58" s="78">
        <v>0</v>
      </c>
      <c r="O58" s="78"/>
      <c r="P58" s="78">
        <v>0</v>
      </c>
      <c r="Q58" s="78">
        <v>0</v>
      </c>
      <c r="R58" s="78">
        <v>0</v>
      </c>
      <c r="S58" s="79"/>
    </row>
    <row r="59" spans="2:19" ht="12" customHeight="1" x14ac:dyDescent="0.25">
      <c r="B59" s="78">
        <v>560</v>
      </c>
      <c r="C59" s="78">
        <v>0</v>
      </c>
      <c r="D59" s="78">
        <v>0</v>
      </c>
      <c r="E59" s="78">
        <v>0</v>
      </c>
      <c r="F59" s="78">
        <v>0</v>
      </c>
      <c r="G59" s="78">
        <v>560</v>
      </c>
      <c r="H59" s="78">
        <v>-53.16</v>
      </c>
      <c r="I59" s="78">
        <v>0</v>
      </c>
      <c r="J59" s="78">
        <v>0</v>
      </c>
      <c r="K59" s="78">
        <v>6737875.3899999997</v>
      </c>
      <c r="L59" s="78">
        <v>553752.93999999994</v>
      </c>
      <c r="M59" s="78">
        <v>0</v>
      </c>
      <c r="N59" s="78">
        <v>0</v>
      </c>
      <c r="O59" s="78"/>
      <c r="P59" s="78">
        <v>0</v>
      </c>
      <c r="Q59" s="78">
        <v>0</v>
      </c>
      <c r="R59" s="78">
        <v>0</v>
      </c>
      <c r="S59" s="79"/>
    </row>
    <row r="60" spans="2:19" ht="12" customHeight="1" x14ac:dyDescent="0.25">
      <c r="B60" s="78">
        <v>570</v>
      </c>
      <c r="C60" s="78">
        <v>0</v>
      </c>
      <c r="D60" s="78">
        <v>0</v>
      </c>
      <c r="E60" s="78">
        <v>0</v>
      </c>
      <c r="F60" s="78">
        <v>0</v>
      </c>
      <c r="G60" s="78">
        <v>570</v>
      </c>
      <c r="H60" s="78">
        <v>-63.16</v>
      </c>
      <c r="I60" s="78">
        <v>0</v>
      </c>
      <c r="J60" s="78">
        <v>0</v>
      </c>
      <c r="K60" s="78">
        <v>6737875.3899999997</v>
      </c>
      <c r="L60" s="78">
        <v>553752.93999999994</v>
      </c>
      <c r="M60" s="78">
        <v>0</v>
      </c>
      <c r="N60" s="78">
        <v>0</v>
      </c>
      <c r="O60" s="78"/>
      <c r="P60" s="78">
        <v>0</v>
      </c>
      <c r="Q60" s="78">
        <v>0</v>
      </c>
      <c r="R60" s="78">
        <v>0</v>
      </c>
      <c r="S60" s="79"/>
    </row>
    <row r="61" spans="2:19" ht="12" customHeight="1" x14ac:dyDescent="0.25">
      <c r="B61" s="78">
        <v>580</v>
      </c>
      <c r="C61" s="78">
        <v>0</v>
      </c>
      <c r="D61" s="78">
        <v>0</v>
      </c>
      <c r="E61" s="78">
        <v>0</v>
      </c>
      <c r="F61" s="78">
        <v>0</v>
      </c>
      <c r="G61" s="78">
        <v>580</v>
      </c>
      <c r="H61" s="78">
        <v>-73.16</v>
      </c>
      <c r="I61" s="78">
        <v>0</v>
      </c>
      <c r="J61" s="78">
        <v>0</v>
      </c>
      <c r="K61" s="78">
        <v>6737875.3899999997</v>
      </c>
      <c r="L61" s="78">
        <v>553752.93999999994</v>
      </c>
      <c r="M61" s="78">
        <v>0</v>
      </c>
      <c r="N61" s="78">
        <v>0</v>
      </c>
      <c r="O61" s="78"/>
      <c r="P61" s="78">
        <v>0</v>
      </c>
      <c r="Q61" s="78">
        <v>0</v>
      </c>
      <c r="R61" s="78">
        <v>0</v>
      </c>
      <c r="S61" s="79"/>
    </row>
    <row r="62" spans="2:19" ht="12" customHeight="1" x14ac:dyDescent="0.25">
      <c r="B62" s="78">
        <v>590</v>
      </c>
      <c r="C62" s="78">
        <v>0</v>
      </c>
      <c r="D62" s="78">
        <v>0</v>
      </c>
      <c r="E62" s="78">
        <v>0</v>
      </c>
      <c r="F62" s="78">
        <v>0</v>
      </c>
      <c r="G62" s="78">
        <v>590</v>
      </c>
      <c r="H62" s="78">
        <v>-83.16</v>
      </c>
      <c r="I62" s="78">
        <v>0</v>
      </c>
      <c r="J62" s="78">
        <v>0</v>
      </c>
      <c r="K62" s="78">
        <v>6737875.3899999997</v>
      </c>
      <c r="L62" s="78">
        <v>553752.93999999994</v>
      </c>
      <c r="M62" s="78">
        <v>0</v>
      </c>
      <c r="N62" s="78">
        <v>0</v>
      </c>
      <c r="O62" s="78"/>
      <c r="P62" s="78">
        <v>0</v>
      </c>
      <c r="Q62" s="78">
        <v>0</v>
      </c>
      <c r="R62" s="78">
        <v>0</v>
      </c>
      <c r="S62" s="79"/>
    </row>
    <row r="63" spans="2:19" ht="12" customHeight="1" x14ac:dyDescent="0.25">
      <c r="B63" s="78">
        <v>600</v>
      </c>
      <c r="C63" s="78">
        <v>0</v>
      </c>
      <c r="D63" s="78">
        <v>0</v>
      </c>
      <c r="E63" s="78">
        <v>0</v>
      </c>
      <c r="F63" s="78">
        <v>0</v>
      </c>
      <c r="G63" s="78">
        <v>600</v>
      </c>
      <c r="H63" s="78">
        <v>-93.16</v>
      </c>
      <c r="I63" s="78">
        <v>0</v>
      </c>
      <c r="J63" s="78">
        <v>0</v>
      </c>
      <c r="K63" s="78">
        <v>6737875.3899999997</v>
      </c>
      <c r="L63" s="78">
        <v>553752.93999999994</v>
      </c>
      <c r="M63" s="78">
        <v>0</v>
      </c>
      <c r="N63" s="78">
        <v>0</v>
      </c>
      <c r="O63" s="78"/>
      <c r="P63" s="78">
        <v>0</v>
      </c>
      <c r="Q63" s="78">
        <v>0</v>
      </c>
      <c r="R63" s="78">
        <v>0</v>
      </c>
      <c r="S63" s="79"/>
    </row>
    <row r="64" spans="2:19" ht="12" customHeight="1" x14ac:dyDescent="0.25">
      <c r="B64" s="78">
        <v>610</v>
      </c>
      <c r="C64" s="78">
        <v>0</v>
      </c>
      <c r="D64" s="78">
        <v>0</v>
      </c>
      <c r="E64" s="78">
        <v>0</v>
      </c>
      <c r="F64" s="78">
        <v>0</v>
      </c>
      <c r="G64" s="78">
        <v>610</v>
      </c>
      <c r="H64" s="78">
        <v>-103.16</v>
      </c>
      <c r="I64" s="78">
        <v>0</v>
      </c>
      <c r="J64" s="78">
        <v>0</v>
      </c>
      <c r="K64" s="78">
        <v>6737875.3899999997</v>
      </c>
      <c r="L64" s="78">
        <v>553752.93999999994</v>
      </c>
      <c r="M64" s="78">
        <v>0</v>
      </c>
      <c r="N64" s="78">
        <v>0</v>
      </c>
      <c r="O64" s="78"/>
      <c r="P64" s="78">
        <v>0</v>
      </c>
      <c r="Q64" s="78">
        <v>0</v>
      </c>
      <c r="R64" s="78">
        <v>0</v>
      </c>
      <c r="S64" s="79"/>
    </row>
    <row r="65" spans="2:19" ht="12" customHeight="1" x14ac:dyDescent="0.25">
      <c r="B65" s="78">
        <v>620</v>
      </c>
      <c r="C65" s="78">
        <v>0</v>
      </c>
      <c r="D65" s="78">
        <v>0</v>
      </c>
      <c r="E65" s="78">
        <v>0</v>
      </c>
      <c r="F65" s="78">
        <v>0</v>
      </c>
      <c r="G65" s="78">
        <v>620</v>
      </c>
      <c r="H65" s="78">
        <v>-113.16</v>
      </c>
      <c r="I65" s="78">
        <v>0</v>
      </c>
      <c r="J65" s="78">
        <v>0</v>
      </c>
      <c r="K65" s="78">
        <v>6737875.3899999997</v>
      </c>
      <c r="L65" s="78">
        <v>553752.93999999994</v>
      </c>
      <c r="M65" s="78">
        <v>0</v>
      </c>
      <c r="N65" s="78">
        <v>0</v>
      </c>
      <c r="O65" s="78"/>
      <c r="P65" s="78">
        <v>0</v>
      </c>
      <c r="Q65" s="78">
        <v>0</v>
      </c>
      <c r="R65" s="78">
        <v>0</v>
      </c>
      <c r="S65" s="79"/>
    </row>
    <row r="66" spans="2:19" ht="12" customHeight="1" x14ac:dyDescent="0.25">
      <c r="B66" s="78">
        <v>630</v>
      </c>
      <c r="C66" s="78">
        <v>0</v>
      </c>
      <c r="D66" s="78">
        <v>0</v>
      </c>
      <c r="E66" s="78">
        <v>0</v>
      </c>
      <c r="F66" s="78">
        <v>0</v>
      </c>
      <c r="G66" s="78">
        <v>630</v>
      </c>
      <c r="H66" s="78">
        <v>-123.16</v>
      </c>
      <c r="I66" s="78">
        <v>0</v>
      </c>
      <c r="J66" s="78">
        <v>0</v>
      </c>
      <c r="K66" s="78">
        <v>6737875.3899999997</v>
      </c>
      <c r="L66" s="78">
        <v>553752.93999999994</v>
      </c>
      <c r="M66" s="78">
        <v>0</v>
      </c>
      <c r="N66" s="78">
        <v>0</v>
      </c>
      <c r="O66" s="78"/>
      <c r="P66" s="78">
        <v>0</v>
      </c>
      <c r="Q66" s="78">
        <v>0</v>
      </c>
      <c r="R66" s="78">
        <v>0</v>
      </c>
      <c r="S66" s="79"/>
    </row>
    <row r="67" spans="2:19" ht="12" customHeight="1" x14ac:dyDescent="0.25">
      <c r="B67" s="78">
        <v>640</v>
      </c>
      <c r="C67" s="78">
        <v>0</v>
      </c>
      <c r="D67" s="78">
        <v>0</v>
      </c>
      <c r="E67" s="78">
        <v>0</v>
      </c>
      <c r="F67" s="78">
        <v>0</v>
      </c>
      <c r="G67" s="78">
        <v>640</v>
      </c>
      <c r="H67" s="78">
        <v>-133.16</v>
      </c>
      <c r="I67" s="78">
        <v>0</v>
      </c>
      <c r="J67" s="78">
        <v>0</v>
      </c>
      <c r="K67" s="78">
        <v>6737875.3899999997</v>
      </c>
      <c r="L67" s="78">
        <v>553752.93999999994</v>
      </c>
      <c r="M67" s="78">
        <v>0</v>
      </c>
      <c r="N67" s="78">
        <v>0</v>
      </c>
      <c r="O67" s="78"/>
      <c r="P67" s="78">
        <v>0</v>
      </c>
      <c r="Q67" s="78">
        <v>0</v>
      </c>
      <c r="R67" s="78">
        <v>0</v>
      </c>
      <c r="S67" s="79"/>
    </row>
    <row r="68" spans="2:19" ht="12" customHeight="1" x14ac:dyDescent="0.25">
      <c r="B68" s="78">
        <v>650</v>
      </c>
      <c r="C68" s="78">
        <v>0</v>
      </c>
      <c r="D68" s="78">
        <v>0</v>
      </c>
      <c r="E68" s="78">
        <v>0</v>
      </c>
      <c r="F68" s="78">
        <v>0</v>
      </c>
      <c r="G68" s="78">
        <v>650</v>
      </c>
      <c r="H68" s="78">
        <v>-143.16</v>
      </c>
      <c r="I68" s="78">
        <v>0</v>
      </c>
      <c r="J68" s="78">
        <v>0</v>
      </c>
      <c r="K68" s="78">
        <v>6737875.3899999997</v>
      </c>
      <c r="L68" s="78">
        <v>553752.93999999994</v>
      </c>
      <c r="M68" s="78">
        <v>0</v>
      </c>
      <c r="N68" s="78">
        <v>0</v>
      </c>
      <c r="O68" s="78"/>
      <c r="P68" s="78">
        <v>0</v>
      </c>
      <c r="Q68" s="78">
        <v>0</v>
      </c>
      <c r="R68" s="78">
        <v>0</v>
      </c>
      <c r="S68" s="79"/>
    </row>
    <row r="69" spans="2:19" ht="12" customHeight="1" x14ac:dyDescent="0.25">
      <c r="B69" s="78">
        <v>660</v>
      </c>
      <c r="C69" s="78">
        <v>0</v>
      </c>
      <c r="D69" s="78">
        <v>0</v>
      </c>
      <c r="E69" s="78">
        <v>0</v>
      </c>
      <c r="F69" s="78">
        <v>0</v>
      </c>
      <c r="G69" s="78">
        <v>660</v>
      </c>
      <c r="H69" s="78">
        <v>-153.16</v>
      </c>
      <c r="I69" s="78">
        <v>0</v>
      </c>
      <c r="J69" s="78">
        <v>0</v>
      </c>
      <c r="K69" s="78">
        <v>6737875.3899999997</v>
      </c>
      <c r="L69" s="78">
        <v>553752.93999999994</v>
      </c>
      <c r="M69" s="78">
        <v>0</v>
      </c>
      <c r="N69" s="78">
        <v>0</v>
      </c>
      <c r="O69" s="78"/>
      <c r="P69" s="78">
        <v>0</v>
      </c>
      <c r="Q69" s="78">
        <v>0</v>
      </c>
      <c r="R69" s="78">
        <v>0</v>
      </c>
      <c r="S69" s="79"/>
    </row>
    <row r="70" spans="2:19" ht="12" customHeight="1" x14ac:dyDescent="0.25">
      <c r="B70" s="78">
        <v>670</v>
      </c>
      <c r="C70" s="78">
        <v>0</v>
      </c>
      <c r="D70" s="78">
        <v>0</v>
      </c>
      <c r="E70" s="78">
        <v>0</v>
      </c>
      <c r="F70" s="78">
        <v>0</v>
      </c>
      <c r="G70" s="78">
        <v>670</v>
      </c>
      <c r="H70" s="78">
        <v>-163.16</v>
      </c>
      <c r="I70" s="78">
        <v>0</v>
      </c>
      <c r="J70" s="78">
        <v>0</v>
      </c>
      <c r="K70" s="78">
        <v>6737875.3899999997</v>
      </c>
      <c r="L70" s="78">
        <v>553752.93999999994</v>
      </c>
      <c r="M70" s="78">
        <v>0</v>
      </c>
      <c r="N70" s="78">
        <v>0</v>
      </c>
      <c r="O70" s="78"/>
      <c r="P70" s="78">
        <v>0</v>
      </c>
      <c r="Q70" s="78">
        <v>0</v>
      </c>
      <c r="R70" s="78">
        <v>0</v>
      </c>
      <c r="S70" s="79"/>
    </row>
    <row r="71" spans="2:19" ht="12" customHeight="1" x14ac:dyDescent="0.25">
      <c r="B71" s="78">
        <v>680</v>
      </c>
      <c r="C71" s="78">
        <v>0</v>
      </c>
      <c r="D71" s="78">
        <v>0</v>
      </c>
      <c r="E71" s="78">
        <v>0</v>
      </c>
      <c r="F71" s="78">
        <v>0</v>
      </c>
      <c r="G71" s="78">
        <v>680</v>
      </c>
      <c r="H71" s="78">
        <v>-173.16</v>
      </c>
      <c r="I71" s="78">
        <v>0</v>
      </c>
      <c r="J71" s="78">
        <v>0</v>
      </c>
      <c r="K71" s="78">
        <v>6737875.3899999997</v>
      </c>
      <c r="L71" s="78">
        <v>553752.93999999994</v>
      </c>
      <c r="M71" s="78">
        <v>0</v>
      </c>
      <c r="N71" s="78">
        <v>0</v>
      </c>
      <c r="O71" s="78"/>
      <c r="P71" s="78">
        <v>0</v>
      </c>
      <c r="Q71" s="78">
        <v>0</v>
      </c>
      <c r="R71" s="78">
        <v>0</v>
      </c>
      <c r="S71" s="79"/>
    </row>
    <row r="72" spans="2:19" ht="12" customHeight="1" x14ac:dyDescent="0.25">
      <c r="B72" s="78">
        <v>682.94</v>
      </c>
      <c r="C72" s="78">
        <v>0</v>
      </c>
      <c r="D72" s="78">
        <v>0</v>
      </c>
      <c r="E72" s="78">
        <v>0</v>
      </c>
      <c r="F72" s="78">
        <v>0</v>
      </c>
      <c r="G72" s="78">
        <v>682.94</v>
      </c>
      <c r="H72" s="78">
        <v>-176.1</v>
      </c>
      <c r="I72" s="78">
        <v>0</v>
      </c>
      <c r="J72" s="78">
        <v>0</v>
      </c>
      <c r="K72" s="78">
        <v>6737875.3899999997</v>
      </c>
      <c r="L72" s="78">
        <v>553752.93999999994</v>
      </c>
      <c r="M72" s="78">
        <v>0</v>
      </c>
      <c r="N72" s="78">
        <v>0</v>
      </c>
      <c r="O72" s="78"/>
      <c r="P72" s="78">
        <v>0</v>
      </c>
      <c r="Q72" s="78">
        <v>0</v>
      </c>
      <c r="R72" s="78">
        <v>0</v>
      </c>
      <c r="S72" s="79" t="s">
        <v>37</v>
      </c>
    </row>
    <row r="73" spans="2:19" ht="12" customHeight="1" x14ac:dyDescent="0.25">
      <c r="B73" s="78">
        <v>690</v>
      </c>
      <c r="C73" s="78">
        <v>0</v>
      </c>
      <c r="D73" s="78">
        <v>0</v>
      </c>
      <c r="E73" s="78">
        <v>0</v>
      </c>
      <c r="F73" s="78">
        <v>0</v>
      </c>
      <c r="G73" s="78">
        <v>690</v>
      </c>
      <c r="H73" s="78">
        <v>-183.16</v>
      </c>
      <c r="I73" s="78">
        <v>0</v>
      </c>
      <c r="J73" s="78">
        <v>0</v>
      </c>
      <c r="K73" s="78">
        <v>6737875.3899999997</v>
      </c>
      <c r="L73" s="78">
        <v>553752.93999999994</v>
      </c>
      <c r="M73" s="78">
        <v>0</v>
      </c>
      <c r="N73" s="78">
        <v>0</v>
      </c>
      <c r="O73" s="78"/>
      <c r="P73" s="78">
        <v>0</v>
      </c>
      <c r="Q73" s="78">
        <v>0</v>
      </c>
      <c r="R73" s="78">
        <v>0</v>
      </c>
      <c r="S73" s="79"/>
    </row>
    <row r="74" spans="2:19" ht="12" customHeight="1" x14ac:dyDescent="0.25">
      <c r="B74" s="78">
        <v>700</v>
      </c>
      <c r="C74" s="78">
        <v>0</v>
      </c>
      <c r="D74" s="78">
        <v>0</v>
      </c>
      <c r="E74" s="78">
        <v>0</v>
      </c>
      <c r="F74" s="78">
        <v>0</v>
      </c>
      <c r="G74" s="78">
        <v>700</v>
      </c>
      <c r="H74" s="78">
        <v>-193.16</v>
      </c>
      <c r="I74" s="78">
        <v>0</v>
      </c>
      <c r="J74" s="78">
        <v>0</v>
      </c>
      <c r="K74" s="78">
        <v>6737875.3899999997</v>
      </c>
      <c r="L74" s="78">
        <v>553752.93999999994</v>
      </c>
      <c r="M74" s="78">
        <v>0</v>
      </c>
      <c r="N74" s="78">
        <v>0</v>
      </c>
      <c r="O74" s="78"/>
      <c r="P74" s="78">
        <v>0</v>
      </c>
      <c r="Q74" s="78">
        <v>0</v>
      </c>
      <c r="R74" s="78">
        <v>0</v>
      </c>
      <c r="S74" s="79"/>
    </row>
    <row r="75" spans="2:19" ht="12" customHeight="1" x14ac:dyDescent="0.25">
      <c r="B75" s="78">
        <v>710</v>
      </c>
      <c r="C75" s="78">
        <v>0</v>
      </c>
      <c r="D75" s="78">
        <v>0</v>
      </c>
      <c r="E75" s="78">
        <v>0</v>
      </c>
      <c r="F75" s="78">
        <v>0</v>
      </c>
      <c r="G75" s="78">
        <v>710</v>
      </c>
      <c r="H75" s="78">
        <v>-203.16</v>
      </c>
      <c r="I75" s="78">
        <v>0</v>
      </c>
      <c r="J75" s="78">
        <v>0</v>
      </c>
      <c r="K75" s="78">
        <v>6737875.3899999997</v>
      </c>
      <c r="L75" s="78">
        <v>553752.93999999994</v>
      </c>
      <c r="M75" s="78">
        <v>0</v>
      </c>
      <c r="N75" s="78">
        <v>0</v>
      </c>
      <c r="O75" s="78"/>
      <c r="P75" s="78">
        <v>0</v>
      </c>
      <c r="Q75" s="78">
        <v>0</v>
      </c>
      <c r="R75" s="78">
        <v>0</v>
      </c>
      <c r="S75" s="79"/>
    </row>
    <row r="76" spans="2:19" ht="12" customHeight="1" x14ac:dyDescent="0.25">
      <c r="B76" s="78">
        <v>720</v>
      </c>
      <c r="C76" s="78">
        <v>0</v>
      </c>
      <c r="D76" s="78">
        <v>0</v>
      </c>
      <c r="E76" s="78">
        <v>0</v>
      </c>
      <c r="F76" s="78">
        <v>0</v>
      </c>
      <c r="G76" s="78">
        <v>720</v>
      </c>
      <c r="H76" s="78">
        <v>-213.16</v>
      </c>
      <c r="I76" s="78">
        <v>0</v>
      </c>
      <c r="J76" s="78">
        <v>0</v>
      </c>
      <c r="K76" s="78">
        <v>6737875.3899999997</v>
      </c>
      <c r="L76" s="78">
        <v>553752.93999999994</v>
      </c>
      <c r="M76" s="78">
        <v>0</v>
      </c>
      <c r="N76" s="78">
        <v>0</v>
      </c>
      <c r="O76" s="78"/>
      <c r="P76" s="78">
        <v>0</v>
      </c>
      <c r="Q76" s="78">
        <v>0</v>
      </c>
      <c r="R76" s="78">
        <v>0</v>
      </c>
      <c r="S76" s="79"/>
    </row>
    <row r="77" spans="2:19" ht="12" customHeight="1" x14ac:dyDescent="0.25">
      <c r="B77" s="78">
        <v>730</v>
      </c>
      <c r="C77" s="78">
        <v>0</v>
      </c>
      <c r="D77" s="78">
        <v>0</v>
      </c>
      <c r="E77" s="78">
        <v>0</v>
      </c>
      <c r="F77" s="78">
        <v>0</v>
      </c>
      <c r="G77" s="78">
        <v>730</v>
      </c>
      <c r="H77" s="78">
        <v>-223.16</v>
      </c>
      <c r="I77" s="78">
        <v>0</v>
      </c>
      <c r="J77" s="78">
        <v>0</v>
      </c>
      <c r="K77" s="78">
        <v>6737875.3899999997</v>
      </c>
      <c r="L77" s="78">
        <v>553752.93999999994</v>
      </c>
      <c r="M77" s="78">
        <v>0</v>
      </c>
      <c r="N77" s="78">
        <v>0</v>
      </c>
      <c r="O77" s="78"/>
      <c r="P77" s="78">
        <v>0</v>
      </c>
      <c r="Q77" s="78">
        <v>0</v>
      </c>
      <c r="R77" s="78">
        <v>0</v>
      </c>
      <c r="S77" s="79"/>
    </row>
    <row r="78" spans="2:19" ht="12" customHeight="1" x14ac:dyDescent="0.25">
      <c r="B78" s="78">
        <v>740</v>
      </c>
      <c r="C78" s="78">
        <v>0</v>
      </c>
      <c r="D78" s="78">
        <v>0</v>
      </c>
      <c r="E78" s="78">
        <v>0</v>
      </c>
      <c r="F78" s="78">
        <v>0</v>
      </c>
      <c r="G78" s="78">
        <v>740</v>
      </c>
      <c r="H78" s="78">
        <v>-233.16</v>
      </c>
      <c r="I78" s="78">
        <v>0</v>
      </c>
      <c r="J78" s="78">
        <v>0</v>
      </c>
      <c r="K78" s="78">
        <v>6737875.3899999997</v>
      </c>
      <c r="L78" s="78">
        <v>553752.93999999994</v>
      </c>
      <c r="M78" s="78">
        <v>0</v>
      </c>
      <c r="N78" s="78">
        <v>0</v>
      </c>
      <c r="O78" s="78"/>
      <c r="P78" s="78">
        <v>0</v>
      </c>
      <c r="Q78" s="78">
        <v>0</v>
      </c>
      <c r="R78" s="78">
        <v>0</v>
      </c>
      <c r="S78" s="79"/>
    </row>
    <row r="79" spans="2:19" ht="12" customHeight="1" x14ac:dyDescent="0.25">
      <c r="B79" s="78">
        <v>750</v>
      </c>
      <c r="C79" s="78">
        <v>0</v>
      </c>
      <c r="D79" s="78">
        <v>0</v>
      </c>
      <c r="E79" s="78">
        <v>0</v>
      </c>
      <c r="F79" s="78">
        <v>0</v>
      </c>
      <c r="G79" s="78">
        <v>750</v>
      </c>
      <c r="H79" s="78">
        <v>-243.16</v>
      </c>
      <c r="I79" s="78">
        <v>0</v>
      </c>
      <c r="J79" s="78">
        <v>0</v>
      </c>
      <c r="K79" s="78">
        <v>6737875.3899999997</v>
      </c>
      <c r="L79" s="78">
        <v>553752.93999999994</v>
      </c>
      <c r="M79" s="78">
        <v>0</v>
      </c>
      <c r="N79" s="78">
        <v>0</v>
      </c>
      <c r="O79" s="78"/>
      <c r="P79" s="78">
        <v>0</v>
      </c>
      <c r="Q79" s="78">
        <v>0</v>
      </c>
      <c r="R79" s="78">
        <v>0</v>
      </c>
      <c r="S79" s="79"/>
    </row>
    <row r="80" spans="2:19" ht="12" customHeight="1" x14ac:dyDescent="0.25">
      <c r="B80" s="78">
        <v>760</v>
      </c>
      <c r="C80" s="78">
        <v>0</v>
      </c>
      <c r="D80" s="78">
        <v>0</v>
      </c>
      <c r="E80" s="78">
        <v>0</v>
      </c>
      <c r="F80" s="78">
        <v>0</v>
      </c>
      <c r="G80" s="78">
        <v>760</v>
      </c>
      <c r="H80" s="78">
        <v>-253.16</v>
      </c>
      <c r="I80" s="78">
        <v>0</v>
      </c>
      <c r="J80" s="78">
        <v>0</v>
      </c>
      <c r="K80" s="78">
        <v>6737875.3899999997</v>
      </c>
      <c r="L80" s="78">
        <v>553752.93999999994</v>
      </c>
      <c r="M80" s="78">
        <v>0</v>
      </c>
      <c r="N80" s="78">
        <v>0</v>
      </c>
      <c r="O80" s="78"/>
      <c r="P80" s="78">
        <v>0</v>
      </c>
      <c r="Q80" s="78">
        <v>0</v>
      </c>
      <c r="R80" s="78">
        <v>0</v>
      </c>
      <c r="S80" s="79"/>
    </row>
    <row r="81" spans="2:19" ht="12" customHeight="1" x14ac:dyDescent="0.25">
      <c r="B81" s="78">
        <v>770</v>
      </c>
      <c r="C81" s="78">
        <v>0</v>
      </c>
      <c r="D81" s="78">
        <v>0</v>
      </c>
      <c r="E81" s="78">
        <v>0</v>
      </c>
      <c r="F81" s="78">
        <v>0</v>
      </c>
      <c r="G81" s="78">
        <v>770</v>
      </c>
      <c r="H81" s="78">
        <v>-263.16000000000003</v>
      </c>
      <c r="I81" s="78">
        <v>0</v>
      </c>
      <c r="J81" s="78">
        <v>0</v>
      </c>
      <c r="K81" s="78">
        <v>6737875.3899999997</v>
      </c>
      <c r="L81" s="78">
        <v>553752.93999999994</v>
      </c>
      <c r="M81" s="78">
        <v>0</v>
      </c>
      <c r="N81" s="78">
        <v>0</v>
      </c>
      <c r="O81" s="78"/>
      <c r="P81" s="78">
        <v>0</v>
      </c>
      <c r="Q81" s="78">
        <v>0</v>
      </c>
      <c r="R81" s="78">
        <v>0</v>
      </c>
      <c r="S81" s="79"/>
    </row>
    <row r="82" spans="2:19" ht="12" customHeight="1" x14ac:dyDescent="0.25">
      <c r="B82" s="78">
        <v>780</v>
      </c>
      <c r="C82" s="78">
        <v>0</v>
      </c>
      <c r="D82" s="78">
        <v>0</v>
      </c>
      <c r="E82" s="78">
        <v>0</v>
      </c>
      <c r="F82" s="78">
        <v>0</v>
      </c>
      <c r="G82" s="78">
        <v>780</v>
      </c>
      <c r="H82" s="78">
        <v>-273.16000000000003</v>
      </c>
      <c r="I82" s="78">
        <v>0</v>
      </c>
      <c r="J82" s="78">
        <v>0</v>
      </c>
      <c r="K82" s="78">
        <v>6737875.3899999997</v>
      </c>
      <c r="L82" s="78">
        <v>553752.93999999994</v>
      </c>
      <c r="M82" s="78">
        <v>0</v>
      </c>
      <c r="N82" s="78">
        <v>0</v>
      </c>
      <c r="O82" s="78"/>
      <c r="P82" s="78">
        <v>0</v>
      </c>
      <c r="Q82" s="78">
        <v>0</v>
      </c>
      <c r="R82" s="78">
        <v>0</v>
      </c>
      <c r="S82" s="79"/>
    </row>
    <row r="83" spans="2:19" ht="12" customHeight="1" x14ac:dyDescent="0.25">
      <c r="B83" s="78">
        <v>790</v>
      </c>
      <c r="C83" s="78">
        <v>0</v>
      </c>
      <c r="D83" s="78">
        <v>0</v>
      </c>
      <c r="E83" s="78">
        <v>0</v>
      </c>
      <c r="F83" s="78">
        <v>0</v>
      </c>
      <c r="G83" s="78">
        <v>790</v>
      </c>
      <c r="H83" s="78">
        <v>-283.16000000000003</v>
      </c>
      <c r="I83" s="78">
        <v>0</v>
      </c>
      <c r="J83" s="78">
        <v>0</v>
      </c>
      <c r="K83" s="78">
        <v>6737875.3899999997</v>
      </c>
      <c r="L83" s="78">
        <v>553752.93999999994</v>
      </c>
      <c r="M83" s="78">
        <v>0</v>
      </c>
      <c r="N83" s="78">
        <v>0</v>
      </c>
      <c r="O83" s="78"/>
      <c r="P83" s="78">
        <v>0</v>
      </c>
      <c r="Q83" s="78">
        <v>0</v>
      </c>
      <c r="R83" s="78">
        <v>0</v>
      </c>
      <c r="S83" s="79"/>
    </row>
    <row r="84" spans="2:19" ht="12" customHeight="1" x14ac:dyDescent="0.25">
      <c r="B84" s="78">
        <v>800</v>
      </c>
      <c r="C84" s="78">
        <v>0</v>
      </c>
      <c r="D84" s="78">
        <v>0</v>
      </c>
      <c r="E84" s="78">
        <v>0</v>
      </c>
      <c r="F84" s="78">
        <v>0</v>
      </c>
      <c r="G84" s="78">
        <v>800</v>
      </c>
      <c r="H84" s="78">
        <v>-293.16000000000003</v>
      </c>
      <c r="I84" s="78">
        <v>0</v>
      </c>
      <c r="J84" s="78">
        <v>0</v>
      </c>
      <c r="K84" s="78">
        <v>6737875.3899999997</v>
      </c>
      <c r="L84" s="78">
        <v>553752.93999999994</v>
      </c>
      <c r="M84" s="78">
        <v>0</v>
      </c>
      <c r="N84" s="78">
        <v>0</v>
      </c>
      <c r="O84" s="78"/>
      <c r="P84" s="78">
        <v>0</v>
      </c>
      <c r="Q84" s="78">
        <v>0</v>
      </c>
      <c r="R84" s="78">
        <v>0</v>
      </c>
      <c r="S84" s="79"/>
    </row>
    <row r="85" spans="2:19" ht="12" customHeight="1" x14ac:dyDescent="0.25">
      <c r="B85" s="78">
        <v>807.79</v>
      </c>
      <c r="C85" s="78">
        <v>0</v>
      </c>
      <c r="D85" s="78">
        <v>0</v>
      </c>
      <c r="E85" s="78">
        <v>0</v>
      </c>
      <c r="F85" s="78">
        <v>0</v>
      </c>
      <c r="G85" s="78">
        <v>807.79</v>
      </c>
      <c r="H85" s="78">
        <v>-300.95</v>
      </c>
      <c r="I85" s="78">
        <v>0</v>
      </c>
      <c r="J85" s="78">
        <v>0</v>
      </c>
      <c r="K85" s="78">
        <v>6737875.3899999997</v>
      </c>
      <c r="L85" s="78">
        <v>553752.93999999994</v>
      </c>
      <c r="M85" s="78">
        <v>0</v>
      </c>
      <c r="N85" s="78">
        <v>0</v>
      </c>
      <c r="O85" s="78"/>
      <c r="P85" s="78">
        <v>0</v>
      </c>
      <c r="Q85" s="78">
        <v>0</v>
      </c>
      <c r="R85" s="78">
        <v>0</v>
      </c>
      <c r="S85" s="79" t="s">
        <v>38</v>
      </c>
    </row>
    <row r="86" spans="2:19" ht="12" customHeight="1" x14ac:dyDescent="0.25">
      <c r="B86" s="78">
        <v>810</v>
      </c>
      <c r="C86" s="78">
        <v>0</v>
      </c>
      <c r="D86" s="78">
        <v>0</v>
      </c>
      <c r="E86" s="78">
        <v>0</v>
      </c>
      <c r="F86" s="78">
        <v>0</v>
      </c>
      <c r="G86" s="78">
        <v>810</v>
      </c>
      <c r="H86" s="78">
        <v>-303.16000000000003</v>
      </c>
      <c r="I86" s="78">
        <v>0</v>
      </c>
      <c r="J86" s="78">
        <v>0</v>
      </c>
      <c r="K86" s="78">
        <v>6737875.3899999997</v>
      </c>
      <c r="L86" s="78">
        <v>553752.93999999994</v>
      </c>
      <c r="M86" s="78">
        <v>0</v>
      </c>
      <c r="N86" s="78">
        <v>0</v>
      </c>
      <c r="O86" s="78"/>
      <c r="P86" s="78">
        <v>0</v>
      </c>
      <c r="Q86" s="78">
        <v>0</v>
      </c>
      <c r="R86" s="78">
        <v>0</v>
      </c>
      <c r="S86" s="79"/>
    </row>
    <row r="87" spans="2:19" ht="12" customHeight="1" x14ac:dyDescent="0.25">
      <c r="B87" s="78">
        <v>820</v>
      </c>
      <c r="C87" s="78">
        <v>0</v>
      </c>
      <c r="D87" s="78">
        <v>0</v>
      </c>
      <c r="E87" s="78">
        <v>0</v>
      </c>
      <c r="F87" s="78">
        <v>0</v>
      </c>
      <c r="G87" s="78">
        <v>820</v>
      </c>
      <c r="H87" s="78">
        <v>-313.16000000000003</v>
      </c>
      <c r="I87" s="78">
        <v>0</v>
      </c>
      <c r="J87" s="78">
        <v>0</v>
      </c>
      <c r="K87" s="78">
        <v>6737875.3899999997</v>
      </c>
      <c r="L87" s="78">
        <v>553752.93999999994</v>
      </c>
      <c r="M87" s="78">
        <v>0</v>
      </c>
      <c r="N87" s="78">
        <v>0</v>
      </c>
      <c r="O87" s="78"/>
      <c r="P87" s="78">
        <v>0</v>
      </c>
      <c r="Q87" s="78">
        <v>0</v>
      </c>
      <c r="R87" s="78">
        <v>0</v>
      </c>
      <c r="S87" s="79"/>
    </row>
    <row r="88" spans="2:19" ht="12" customHeight="1" x14ac:dyDescent="0.25">
      <c r="B88" s="78">
        <v>830</v>
      </c>
      <c r="C88" s="78">
        <v>0</v>
      </c>
      <c r="D88" s="78">
        <v>0</v>
      </c>
      <c r="E88" s="78">
        <v>0</v>
      </c>
      <c r="F88" s="78">
        <v>0</v>
      </c>
      <c r="G88" s="78">
        <v>830</v>
      </c>
      <c r="H88" s="78">
        <v>-323.16000000000003</v>
      </c>
      <c r="I88" s="78">
        <v>0</v>
      </c>
      <c r="J88" s="78">
        <v>0</v>
      </c>
      <c r="K88" s="78">
        <v>6737875.3899999997</v>
      </c>
      <c r="L88" s="78">
        <v>553752.93999999994</v>
      </c>
      <c r="M88" s="78">
        <v>0</v>
      </c>
      <c r="N88" s="78">
        <v>0</v>
      </c>
      <c r="O88" s="78"/>
      <c r="P88" s="78">
        <v>0</v>
      </c>
      <c r="Q88" s="78">
        <v>0</v>
      </c>
      <c r="R88" s="78">
        <v>0</v>
      </c>
      <c r="S88" s="79"/>
    </row>
    <row r="89" spans="2:19" ht="12" customHeight="1" x14ac:dyDescent="0.25">
      <c r="B89" s="78">
        <v>840</v>
      </c>
      <c r="C89" s="78">
        <v>0</v>
      </c>
      <c r="D89" s="78">
        <v>0</v>
      </c>
      <c r="E89" s="78">
        <v>0</v>
      </c>
      <c r="F89" s="78">
        <v>0</v>
      </c>
      <c r="G89" s="78">
        <v>840</v>
      </c>
      <c r="H89" s="78">
        <v>-333.16</v>
      </c>
      <c r="I89" s="78">
        <v>0</v>
      </c>
      <c r="J89" s="78">
        <v>0</v>
      </c>
      <c r="K89" s="78">
        <v>6737875.3899999997</v>
      </c>
      <c r="L89" s="78">
        <v>553752.93999999994</v>
      </c>
      <c r="M89" s="78">
        <v>0</v>
      </c>
      <c r="N89" s="78">
        <v>0</v>
      </c>
      <c r="O89" s="78"/>
      <c r="P89" s="78">
        <v>0</v>
      </c>
      <c r="Q89" s="78">
        <v>0</v>
      </c>
      <c r="R89" s="78">
        <v>0</v>
      </c>
      <c r="S89" s="79"/>
    </row>
    <row r="90" spans="2:19" ht="12" customHeight="1" x14ac:dyDescent="0.25">
      <c r="B90" s="78">
        <v>850</v>
      </c>
      <c r="C90" s="78">
        <v>0</v>
      </c>
      <c r="D90" s="78">
        <v>0</v>
      </c>
      <c r="E90" s="78">
        <v>0</v>
      </c>
      <c r="F90" s="78">
        <v>0</v>
      </c>
      <c r="G90" s="78">
        <v>850</v>
      </c>
      <c r="H90" s="78">
        <v>-343.16</v>
      </c>
      <c r="I90" s="78">
        <v>0</v>
      </c>
      <c r="J90" s="78">
        <v>0</v>
      </c>
      <c r="K90" s="78">
        <v>6737875.3899999997</v>
      </c>
      <c r="L90" s="78">
        <v>553752.93999999994</v>
      </c>
      <c r="M90" s="78">
        <v>0</v>
      </c>
      <c r="N90" s="78">
        <v>0</v>
      </c>
      <c r="O90" s="78"/>
      <c r="P90" s="78">
        <v>0</v>
      </c>
      <c r="Q90" s="78">
        <v>0</v>
      </c>
      <c r="R90" s="78">
        <v>0</v>
      </c>
      <c r="S90" s="79"/>
    </row>
    <row r="91" spans="2:19" ht="12" customHeight="1" x14ac:dyDescent="0.25">
      <c r="B91" s="78">
        <v>860</v>
      </c>
      <c r="C91" s="78">
        <v>0</v>
      </c>
      <c r="D91" s="78">
        <v>0</v>
      </c>
      <c r="E91" s="78">
        <v>0</v>
      </c>
      <c r="F91" s="78">
        <v>0</v>
      </c>
      <c r="G91" s="78">
        <v>860</v>
      </c>
      <c r="H91" s="78">
        <v>-353.16</v>
      </c>
      <c r="I91" s="78">
        <v>0</v>
      </c>
      <c r="J91" s="78">
        <v>0</v>
      </c>
      <c r="K91" s="78">
        <v>6737875.3899999997</v>
      </c>
      <c r="L91" s="78">
        <v>553752.93999999994</v>
      </c>
      <c r="M91" s="78">
        <v>0</v>
      </c>
      <c r="N91" s="78">
        <v>0</v>
      </c>
      <c r="O91" s="78"/>
      <c r="P91" s="78">
        <v>0</v>
      </c>
      <c r="Q91" s="78">
        <v>0</v>
      </c>
      <c r="R91" s="78">
        <v>0</v>
      </c>
      <c r="S91" s="79"/>
    </row>
    <row r="92" spans="2:19" ht="12" customHeight="1" x14ac:dyDescent="0.25">
      <c r="B92" s="78">
        <v>870</v>
      </c>
      <c r="C92" s="78">
        <v>0</v>
      </c>
      <c r="D92" s="78">
        <v>0</v>
      </c>
      <c r="E92" s="78">
        <v>0</v>
      </c>
      <c r="F92" s="78">
        <v>0</v>
      </c>
      <c r="G92" s="78">
        <v>870</v>
      </c>
      <c r="H92" s="78">
        <v>-363.16</v>
      </c>
      <c r="I92" s="78">
        <v>0</v>
      </c>
      <c r="J92" s="78">
        <v>0</v>
      </c>
      <c r="K92" s="78">
        <v>6737875.3899999997</v>
      </c>
      <c r="L92" s="78">
        <v>553752.93999999994</v>
      </c>
      <c r="M92" s="78">
        <v>0</v>
      </c>
      <c r="N92" s="78">
        <v>0</v>
      </c>
      <c r="O92" s="78"/>
      <c r="P92" s="78">
        <v>0</v>
      </c>
      <c r="Q92" s="78">
        <v>0</v>
      </c>
      <c r="R92" s="78">
        <v>0</v>
      </c>
      <c r="S92" s="79"/>
    </row>
    <row r="93" spans="2:19" ht="12" customHeight="1" x14ac:dyDescent="0.25">
      <c r="B93" s="78">
        <v>880</v>
      </c>
      <c r="C93" s="78">
        <v>0</v>
      </c>
      <c r="D93" s="78">
        <v>0</v>
      </c>
      <c r="E93" s="78">
        <v>0</v>
      </c>
      <c r="F93" s="78">
        <v>0</v>
      </c>
      <c r="G93" s="78">
        <v>880</v>
      </c>
      <c r="H93" s="78">
        <v>-373.16</v>
      </c>
      <c r="I93" s="78">
        <v>0</v>
      </c>
      <c r="J93" s="78">
        <v>0</v>
      </c>
      <c r="K93" s="78">
        <v>6737875.3899999997</v>
      </c>
      <c r="L93" s="78">
        <v>553752.93999999994</v>
      </c>
      <c r="M93" s="78">
        <v>0</v>
      </c>
      <c r="N93" s="78">
        <v>0</v>
      </c>
      <c r="O93" s="78"/>
      <c r="P93" s="78">
        <v>0</v>
      </c>
      <c r="Q93" s="78">
        <v>0</v>
      </c>
      <c r="R93" s="78">
        <v>0</v>
      </c>
      <c r="S93" s="79"/>
    </row>
    <row r="94" spans="2:19" ht="12" customHeight="1" x14ac:dyDescent="0.25">
      <c r="B94" s="78">
        <v>890</v>
      </c>
      <c r="C94" s="78">
        <v>0</v>
      </c>
      <c r="D94" s="78">
        <v>0</v>
      </c>
      <c r="E94" s="78">
        <v>0</v>
      </c>
      <c r="F94" s="78">
        <v>0</v>
      </c>
      <c r="G94" s="78">
        <v>890</v>
      </c>
      <c r="H94" s="78">
        <v>-383.16</v>
      </c>
      <c r="I94" s="78">
        <v>0</v>
      </c>
      <c r="J94" s="78">
        <v>0</v>
      </c>
      <c r="K94" s="78">
        <v>6737875.3899999997</v>
      </c>
      <c r="L94" s="78">
        <v>553752.93999999994</v>
      </c>
      <c r="M94" s="78">
        <v>0</v>
      </c>
      <c r="N94" s="78">
        <v>0</v>
      </c>
      <c r="O94" s="78"/>
      <c r="P94" s="78">
        <v>0</v>
      </c>
      <c r="Q94" s="78">
        <v>0</v>
      </c>
      <c r="R94" s="78">
        <v>0</v>
      </c>
      <c r="S94" s="79"/>
    </row>
    <row r="95" spans="2:19" ht="12" customHeight="1" x14ac:dyDescent="0.25">
      <c r="B95" s="78">
        <v>900</v>
      </c>
      <c r="C95" s="78">
        <v>0</v>
      </c>
      <c r="D95" s="78">
        <v>0</v>
      </c>
      <c r="E95" s="78">
        <v>0</v>
      </c>
      <c r="F95" s="78">
        <v>0</v>
      </c>
      <c r="G95" s="78">
        <v>900</v>
      </c>
      <c r="H95" s="78">
        <v>-393.16</v>
      </c>
      <c r="I95" s="78">
        <v>0</v>
      </c>
      <c r="J95" s="78">
        <v>0</v>
      </c>
      <c r="K95" s="78">
        <v>6737875.3899999997</v>
      </c>
      <c r="L95" s="78">
        <v>553752.93999999994</v>
      </c>
      <c r="M95" s="78">
        <v>0</v>
      </c>
      <c r="N95" s="78">
        <v>0</v>
      </c>
      <c r="O95" s="78"/>
      <c r="P95" s="78">
        <v>0</v>
      </c>
      <c r="Q95" s="78">
        <v>0</v>
      </c>
      <c r="R95" s="78">
        <v>0</v>
      </c>
      <c r="S95" s="79" t="s">
        <v>39</v>
      </c>
    </row>
    <row r="96" spans="2:19" ht="12" customHeight="1" x14ac:dyDescent="0.25">
      <c r="B96" s="78">
        <v>910</v>
      </c>
      <c r="C96" s="78">
        <v>0</v>
      </c>
      <c r="D96" s="78">
        <v>0</v>
      </c>
      <c r="E96" s="78">
        <v>0</v>
      </c>
      <c r="F96" s="78">
        <v>0</v>
      </c>
      <c r="G96" s="78">
        <v>910</v>
      </c>
      <c r="H96" s="78">
        <v>-403.16</v>
      </c>
      <c r="I96" s="78">
        <v>0</v>
      </c>
      <c r="J96" s="78">
        <v>0</v>
      </c>
      <c r="K96" s="78">
        <v>6737875.3899999997</v>
      </c>
      <c r="L96" s="78">
        <v>553752.93999999994</v>
      </c>
      <c r="M96" s="78">
        <v>0</v>
      </c>
      <c r="N96" s="78">
        <v>0</v>
      </c>
      <c r="O96" s="78"/>
      <c r="P96" s="78">
        <v>0</v>
      </c>
      <c r="Q96" s="78">
        <v>0</v>
      </c>
      <c r="R96" s="78">
        <v>0</v>
      </c>
      <c r="S96" s="79"/>
    </row>
    <row r="97" spans="2:19" ht="12" customHeight="1" x14ac:dyDescent="0.25">
      <c r="B97" s="78">
        <v>920</v>
      </c>
      <c r="C97" s="78">
        <v>0</v>
      </c>
      <c r="D97" s="78">
        <v>0</v>
      </c>
      <c r="E97" s="78">
        <v>0</v>
      </c>
      <c r="F97" s="78">
        <v>0</v>
      </c>
      <c r="G97" s="78">
        <v>920</v>
      </c>
      <c r="H97" s="78">
        <v>-413.16</v>
      </c>
      <c r="I97" s="78">
        <v>0</v>
      </c>
      <c r="J97" s="78">
        <v>0</v>
      </c>
      <c r="K97" s="78">
        <v>6737875.3899999997</v>
      </c>
      <c r="L97" s="78">
        <v>553752.93999999994</v>
      </c>
      <c r="M97" s="78">
        <v>0</v>
      </c>
      <c r="N97" s="78">
        <v>0</v>
      </c>
      <c r="O97" s="78"/>
      <c r="P97" s="78">
        <v>0</v>
      </c>
      <c r="Q97" s="78">
        <v>0</v>
      </c>
      <c r="R97" s="78">
        <v>0</v>
      </c>
      <c r="S97" s="79"/>
    </row>
    <row r="98" spans="2:19" ht="12" customHeight="1" x14ac:dyDescent="0.25">
      <c r="B98" s="78">
        <v>930</v>
      </c>
      <c r="C98" s="78">
        <v>0</v>
      </c>
      <c r="D98" s="78">
        <v>0</v>
      </c>
      <c r="E98" s="78">
        <v>0</v>
      </c>
      <c r="F98" s="78">
        <v>0</v>
      </c>
      <c r="G98" s="78">
        <v>930</v>
      </c>
      <c r="H98" s="78">
        <v>-423.16</v>
      </c>
      <c r="I98" s="78">
        <v>0</v>
      </c>
      <c r="J98" s="78">
        <v>0</v>
      </c>
      <c r="K98" s="78">
        <v>6737875.3899999997</v>
      </c>
      <c r="L98" s="78">
        <v>553752.93999999994</v>
      </c>
      <c r="M98" s="78">
        <v>0</v>
      </c>
      <c r="N98" s="78">
        <v>0</v>
      </c>
      <c r="O98" s="78"/>
      <c r="P98" s="78">
        <v>0</v>
      </c>
      <c r="Q98" s="78">
        <v>0</v>
      </c>
      <c r="R98" s="78">
        <v>0</v>
      </c>
      <c r="S98" s="79"/>
    </row>
    <row r="99" spans="2:19" ht="12" customHeight="1" x14ac:dyDescent="0.25">
      <c r="B99" s="78">
        <v>940</v>
      </c>
      <c r="C99" s="78">
        <v>1.5</v>
      </c>
      <c r="D99" s="78">
        <v>100.24</v>
      </c>
      <c r="E99" s="78">
        <v>90.09</v>
      </c>
      <c r="F99" s="78">
        <v>90.96</v>
      </c>
      <c r="G99" s="78">
        <v>940</v>
      </c>
      <c r="H99" s="78">
        <v>-433.16</v>
      </c>
      <c r="I99" s="78">
        <v>0</v>
      </c>
      <c r="J99" s="78">
        <v>0.13</v>
      </c>
      <c r="K99" s="78">
        <v>6737875.3899999997</v>
      </c>
      <c r="L99" s="78">
        <v>553753.06999999995</v>
      </c>
      <c r="M99" s="78">
        <v>0.13</v>
      </c>
      <c r="N99" s="78">
        <v>90.96</v>
      </c>
      <c r="O99" s="78"/>
      <c r="P99" s="78">
        <v>1.5</v>
      </c>
      <c r="Q99" s="78">
        <v>90.96</v>
      </c>
      <c r="R99" s="78">
        <v>1.5</v>
      </c>
      <c r="S99" s="79"/>
    </row>
    <row r="100" spans="2:19" ht="12" customHeight="1" x14ac:dyDescent="0.25">
      <c r="B100" s="78">
        <v>950</v>
      </c>
      <c r="C100" s="78">
        <v>3</v>
      </c>
      <c r="D100" s="78">
        <v>100.24</v>
      </c>
      <c r="E100" s="78">
        <v>90.09</v>
      </c>
      <c r="F100" s="78">
        <v>90.96</v>
      </c>
      <c r="G100" s="78">
        <v>949.99</v>
      </c>
      <c r="H100" s="78">
        <v>-443.15</v>
      </c>
      <c r="I100" s="78">
        <v>-0.01</v>
      </c>
      <c r="J100" s="78">
        <v>0.52</v>
      </c>
      <c r="K100" s="78">
        <v>6737875.3899999997</v>
      </c>
      <c r="L100" s="78">
        <v>553753.46</v>
      </c>
      <c r="M100" s="78">
        <v>0.52</v>
      </c>
      <c r="N100" s="78">
        <v>90.96</v>
      </c>
      <c r="O100" s="78"/>
      <c r="P100" s="78">
        <v>1.5</v>
      </c>
      <c r="Q100" s="78">
        <v>0</v>
      </c>
      <c r="R100" s="78">
        <v>1.5</v>
      </c>
      <c r="S100" s="79"/>
    </row>
    <row r="101" spans="2:19" ht="12" customHeight="1" x14ac:dyDescent="0.25">
      <c r="B101" s="78">
        <v>960</v>
      </c>
      <c r="C101" s="78">
        <v>4.5</v>
      </c>
      <c r="D101" s="78">
        <v>100.24</v>
      </c>
      <c r="E101" s="78">
        <v>90.09</v>
      </c>
      <c r="F101" s="78">
        <v>90.96</v>
      </c>
      <c r="G101" s="78">
        <v>959.97</v>
      </c>
      <c r="H101" s="78">
        <v>-453.13</v>
      </c>
      <c r="I101" s="78">
        <v>-0.02</v>
      </c>
      <c r="J101" s="78">
        <v>1.18</v>
      </c>
      <c r="K101" s="78">
        <v>6737875.3899999997</v>
      </c>
      <c r="L101" s="78">
        <v>553754.12</v>
      </c>
      <c r="M101" s="78">
        <v>1.18</v>
      </c>
      <c r="N101" s="78">
        <v>90.96</v>
      </c>
      <c r="O101" s="78"/>
      <c r="P101" s="78">
        <v>1.5</v>
      </c>
      <c r="Q101" s="78">
        <v>0</v>
      </c>
      <c r="R101" s="78">
        <v>1.5</v>
      </c>
      <c r="S101" s="79"/>
    </row>
    <row r="102" spans="2:19" ht="12" customHeight="1" x14ac:dyDescent="0.25">
      <c r="B102" s="78">
        <v>970</v>
      </c>
      <c r="C102" s="78">
        <v>6</v>
      </c>
      <c r="D102" s="78">
        <v>100.24</v>
      </c>
      <c r="E102" s="78">
        <v>90.09</v>
      </c>
      <c r="F102" s="78">
        <v>90.96</v>
      </c>
      <c r="G102" s="78">
        <v>969.93</v>
      </c>
      <c r="H102" s="78">
        <v>-463.09</v>
      </c>
      <c r="I102" s="78">
        <v>-0.03</v>
      </c>
      <c r="J102" s="78">
        <v>2.09</v>
      </c>
      <c r="K102" s="78">
        <v>6737875.3899999997</v>
      </c>
      <c r="L102" s="78">
        <v>553755.03</v>
      </c>
      <c r="M102" s="78">
        <v>2.09</v>
      </c>
      <c r="N102" s="78">
        <v>90.96</v>
      </c>
      <c r="O102" s="78"/>
      <c r="P102" s="78">
        <v>1.5</v>
      </c>
      <c r="Q102" s="78">
        <v>0</v>
      </c>
      <c r="R102" s="78">
        <v>1.5</v>
      </c>
      <c r="S102" s="79"/>
    </row>
    <row r="103" spans="2:19" ht="12" customHeight="1" x14ac:dyDescent="0.25">
      <c r="B103" s="78">
        <v>980</v>
      </c>
      <c r="C103" s="78">
        <v>7.5</v>
      </c>
      <c r="D103" s="78">
        <v>100.24</v>
      </c>
      <c r="E103" s="78">
        <v>90.09</v>
      </c>
      <c r="F103" s="78">
        <v>90.96</v>
      </c>
      <c r="G103" s="78">
        <v>979.86</v>
      </c>
      <c r="H103" s="78">
        <v>-473.02</v>
      </c>
      <c r="I103" s="78">
        <v>-0.05</v>
      </c>
      <c r="J103" s="78">
        <v>3.27</v>
      </c>
      <c r="K103" s="78">
        <v>6737875.3799999999</v>
      </c>
      <c r="L103" s="78">
        <v>553756.21</v>
      </c>
      <c r="M103" s="78">
        <v>3.27</v>
      </c>
      <c r="N103" s="78">
        <v>90.96</v>
      </c>
      <c r="O103" s="78"/>
      <c r="P103" s="78">
        <v>1.5</v>
      </c>
      <c r="Q103" s="78">
        <v>0</v>
      </c>
      <c r="R103" s="78">
        <v>1.5</v>
      </c>
      <c r="S103" s="79"/>
    </row>
    <row r="104" spans="2:19" ht="12" customHeight="1" x14ac:dyDescent="0.25">
      <c r="B104" s="78">
        <v>986.03</v>
      </c>
      <c r="C104" s="78">
        <v>8.4</v>
      </c>
      <c r="D104" s="78">
        <v>100.24</v>
      </c>
      <c r="E104" s="78">
        <v>90.09</v>
      </c>
      <c r="F104" s="78">
        <v>90.96</v>
      </c>
      <c r="G104" s="78">
        <v>985.83</v>
      </c>
      <c r="H104" s="78">
        <v>-478.99</v>
      </c>
      <c r="I104" s="78">
        <v>-7.0000000000000007E-2</v>
      </c>
      <c r="J104" s="78">
        <v>4.0999999999999996</v>
      </c>
      <c r="K104" s="78">
        <v>6737875.3799999999</v>
      </c>
      <c r="L104" s="78">
        <v>553757.04</v>
      </c>
      <c r="M104" s="78">
        <v>4.0999999999999996</v>
      </c>
      <c r="N104" s="78">
        <v>90.96</v>
      </c>
      <c r="O104" s="78"/>
      <c r="P104" s="78">
        <v>1.5</v>
      </c>
      <c r="Q104" s="78">
        <v>90.96</v>
      </c>
      <c r="R104" s="78">
        <v>1.5</v>
      </c>
      <c r="S104" s="79" t="s">
        <v>40</v>
      </c>
    </row>
    <row r="105" spans="2:19" ht="12" customHeight="1" x14ac:dyDescent="0.25">
      <c r="B105" s="78">
        <v>990</v>
      </c>
      <c r="C105" s="78">
        <v>9</v>
      </c>
      <c r="D105" s="78">
        <v>100.24</v>
      </c>
      <c r="E105" s="78">
        <v>90.09</v>
      </c>
      <c r="F105" s="78">
        <v>90.96</v>
      </c>
      <c r="G105" s="78">
        <v>989.75</v>
      </c>
      <c r="H105" s="78">
        <v>-482.91</v>
      </c>
      <c r="I105" s="78">
        <v>-0.08</v>
      </c>
      <c r="J105" s="78">
        <v>4.7</v>
      </c>
      <c r="K105" s="78">
        <v>6737875.3799999999</v>
      </c>
      <c r="L105" s="78">
        <v>553757.64</v>
      </c>
      <c r="M105" s="78">
        <v>4.7</v>
      </c>
      <c r="N105" s="78">
        <v>90.96</v>
      </c>
      <c r="O105" s="78"/>
      <c r="P105" s="78">
        <v>1.5</v>
      </c>
      <c r="Q105" s="78">
        <v>0</v>
      </c>
      <c r="R105" s="78">
        <v>1.5</v>
      </c>
      <c r="S105" s="79"/>
    </row>
    <row r="106" spans="2:19" ht="12" customHeight="1" x14ac:dyDescent="0.25">
      <c r="B106" s="78">
        <v>1000</v>
      </c>
      <c r="C106" s="78">
        <v>10.5</v>
      </c>
      <c r="D106" s="78">
        <v>100.24</v>
      </c>
      <c r="E106" s="78">
        <v>90.09</v>
      </c>
      <c r="F106" s="78">
        <v>90.96</v>
      </c>
      <c r="G106" s="78">
        <v>999.61</v>
      </c>
      <c r="H106" s="78">
        <v>-492.77</v>
      </c>
      <c r="I106" s="78">
        <v>-0.11</v>
      </c>
      <c r="J106" s="78">
        <v>6.4</v>
      </c>
      <c r="K106" s="78">
        <v>6737875.3799999999</v>
      </c>
      <c r="L106" s="78">
        <v>553759.34</v>
      </c>
      <c r="M106" s="78">
        <v>6.4</v>
      </c>
      <c r="N106" s="78">
        <v>90.96</v>
      </c>
      <c r="O106" s="78"/>
      <c r="P106" s="78">
        <v>1.5</v>
      </c>
      <c r="Q106" s="78">
        <v>0</v>
      </c>
      <c r="R106" s="78">
        <v>1.5</v>
      </c>
      <c r="S106" s="79"/>
    </row>
    <row r="107" spans="2:19" ht="12" customHeight="1" x14ac:dyDescent="0.25">
      <c r="B107" s="78">
        <v>1010</v>
      </c>
      <c r="C107" s="78">
        <v>12</v>
      </c>
      <c r="D107" s="78">
        <v>100.24</v>
      </c>
      <c r="E107" s="78">
        <v>90.09</v>
      </c>
      <c r="F107" s="78">
        <v>90.96</v>
      </c>
      <c r="G107" s="78">
        <v>1009.42</v>
      </c>
      <c r="H107" s="78">
        <v>-502.58</v>
      </c>
      <c r="I107" s="78">
        <v>-0.14000000000000001</v>
      </c>
      <c r="J107" s="78">
        <v>8.35</v>
      </c>
      <c r="K107" s="78">
        <v>6737875.3799999999</v>
      </c>
      <c r="L107" s="78">
        <v>553761.29</v>
      </c>
      <c r="M107" s="78">
        <v>8.35</v>
      </c>
      <c r="N107" s="78">
        <v>90.96</v>
      </c>
      <c r="O107" s="78"/>
      <c r="P107" s="78">
        <v>1.5</v>
      </c>
      <c r="Q107" s="78">
        <v>0</v>
      </c>
      <c r="R107" s="78">
        <v>1.5</v>
      </c>
      <c r="S107" s="79"/>
    </row>
    <row r="108" spans="2:19" ht="12" customHeight="1" x14ac:dyDescent="0.25">
      <c r="B108" s="78">
        <v>1020</v>
      </c>
      <c r="C108" s="78">
        <v>13.5</v>
      </c>
      <c r="D108" s="78">
        <v>100.24</v>
      </c>
      <c r="E108" s="78">
        <v>90.09</v>
      </c>
      <c r="F108" s="78">
        <v>90.96</v>
      </c>
      <c r="G108" s="78">
        <v>1019.17</v>
      </c>
      <c r="H108" s="78">
        <v>-512.33000000000004</v>
      </c>
      <c r="I108" s="78">
        <v>-0.18</v>
      </c>
      <c r="J108" s="78">
        <v>10.55</v>
      </c>
      <c r="K108" s="78">
        <v>6737875.3700000001</v>
      </c>
      <c r="L108" s="78">
        <v>553763.49</v>
      </c>
      <c r="M108" s="78">
        <v>10.55</v>
      </c>
      <c r="N108" s="78">
        <v>90.96</v>
      </c>
      <c r="O108" s="78"/>
      <c r="P108" s="78">
        <v>1.5</v>
      </c>
      <c r="Q108" s="78">
        <v>0</v>
      </c>
      <c r="R108" s="78">
        <v>1.5</v>
      </c>
      <c r="S108" s="79"/>
    </row>
    <row r="109" spans="2:19" ht="12" customHeight="1" x14ac:dyDescent="0.25">
      <c r="B109" s="78">
        <v>1030</v>
      </c>
      <c r="C109" s="78">
        <v>15</v>
      </c>
      <c r="D109" s="78">
        <v>100.24</v>
      </c>
      <c r="E109" s="78">
        <v>90.09</v>
      </c>
      <c r="F109" s="78">
        <v>90.96</v>
      </c>
      <c r="G109" s="78">
        <v>1028.8599999999999</v>
      </c>
      <c r="H109" s="78">
        <v>-522.02</v>
      </c>
      <c r="I109" s="78">
        <v>-0.22</v>
      </c>
      <c r="J109" s="78">
        <v>13.01</v>
      </c>
      <c r="K109" s="78">
        <v>6737875.3700000001</v>
      </c>
      <c r="L109" s="78">
        <v>553765.96</v>
      </c>
      <c r="M109" s="78">
        <v>13.02</v>
      </c>
      <c r="N109" s="78">
        <v>90.96</v>
      </c>
      <c r="O109" s="78"/>
      <c r="P109" s="78">
        <v>1.5</v>
      </c>
      <c r="Q109" s="78">
        <v>0</v>
      </c>
      <c r="R109" s="78">
        <v>1.5</v>
      </c>
      <c r="S109" s="79"/>
    </row>
    <row r="110" spans="2:19" ht="12" customHeight="1" x14ac:dyDescent="0.25">
      <c r="B110" s="78">
        <v>1040</v>
      </c>
      <c r="C110" s="78">
        <v>16.5</v>
      </c>
      <c r="D110" s="78">
        <v>100.24</v>
      </c>
      <c r="E110" s="78">
        <v>90.09</v>
      </c>
      <c r="F110" s="78">
        <v>90.96</v>
      </c>
      <c r="G110" s="78">
        <v>1038.49</v>
      </c>
      <c r="H110" s="78">
        <v>-531.65</v>
      </c>
      <c r="I110" s="78">
        <v>-0.26</v>
      </c>
      <c r="J110" s="78">
        <v>15.73</v>
      </c>
      <c r="K110" s="78">
        <v>6737875.3600000003</v>
      </c>
      <c r="L110" s="78">
        <v>553768.67000000004</v>
      </c>
      <c r="M110" s="78">
        <v>15.73</v>
      </c>
      <c r="N110" s="78">
        <v>90.96</v>
      </c>
      <c r="O110" s="78"/>
      <c r="P110" s="78">
        <v>1.5</v>
      </c>
      <c r="Q110" s="78">
        <v>0</v>
      </c>
      <c r="R110" s="78">
        <v>1.5</v>
      </c>
      <c r="S110" s="79"/>
    </row>
    <row r="111" spans="2:19" ht="12" customHeight="1" x14ac:dyDescent="0.25">
      <c r="B111" s="78">
        <v>1050</v>
      </c>
      <c r="C111" s="78">
        <v>18</v>
      </c>
      <c r="D111" s="78">
        <v>100.24</v>
      </c>
      <c r="E111" s="78">
        <v>90.09</v>
      </c>
      <c r="F111" s="78">
        <v>90.96</v>
      </c>
      <c r="G111" s="78">
        <v>1048.04</v>
      </c>
      <c r="H111" s="78">
        <v>-541.20000000000005</v>
      </c>
      <c r="I111" s="78">
        <v>-0.31</v>
      </c>
      <c r="J111" s="78">
        <v>18.690000000000001</v>
      </c>
      <c r="K111" s="78">
        <v>6737875.3600000003</v>
      </c>
      <c r="L111" s="78">
        <v>553771.63</v>
      </c>
      <c r="M111" s="78">
        <v>18.690000000000001</v>
      </c>
      <c r="N111" s="78">
        <v>90.96</v>
      </c>
      <c r="O111" s="78"/>
      <c r="P111" s="78">
        <v>1.5</v>
      </c>
      <c r="Q111" s="78">
        <v>0</v>
      </c>
      <c r="R111" s="78">
        <v>1.5</v>
      </c>
      <c r="S111" s="79"/>
    </row>
    <row r="112" spans="2:19" ht="12" customHeight="1" x14ac:dyDescent="0.25">
      <c r="B112" s="78">
        <v>1060</v>
      </c>
      <c r="C112" s="78">
        <v>19.5</v>
      </c>
      <c r="D112" s="78">
        <v>100.24</v>
      </c>
      <c r="E112" s="78">
        <v>90.09</v>
      </c>
      <c r="F112" s="78">
        <v>90.96</v>
      </c>
      <c r="G112" s="78">
        <v>1057.5</v>
      </c>
      <c r="H112" s="78">
        <v>-550.66</v>
      </c>
      <c r="I112" s="78">
        <v>-0.37</v>
      </c>
      <c r="J112" s="78">
        <v>21.91</v>
      </c>
      <c r="K112" s="78">
        <v>6737875.3499999996</v>
      </c>
      <c r="L112" s="78">
        <v>553774.85</v>
      </c>
      <c r="M112" s="78">
        <v>21.91</v>
      </c>
      <c r="N112" s="78">
        <v>90.96</v>
      </c>
      <c r="O112" s="78"/>
      <c r="P112" s="78">
        <v>1.5</v>
      </c>
      <c r="Q112" s="78">
        <v>0</v>
      </c>
      <c r="R112" s="78">
        <v>1.5</v>
      </c>
      <c r="S112" s="79"/>
    </row>
    <row r="113" spans="2:19" ht="12" customHeight="1" x14ac:dyDescent="0.25">
      <c r="B113" s="78">
        <v>1070</v>
      </c>
      <c r="C113" s="78">
        <v>21</v>
      </c>
      <c r="D113" s="78">
        <v>100.24</v>
      </c>
      <c r="E113" s="78">
        <v>90.09</v>
      </c>
      <c r="F113" s="78">
        <v>90.96</v>
      </c>
      <c r="G113" s="78">
        <v>1066.8900000000001</v>
      </c>
      <c r="H113" s="78">
        <v>-560.04999999999995</v>
      </c>
      <c r="I113" s="78">
        <v>-0.42</v>
      </c>
      <c r="J113" s="78">
        <v>25.37</v>
      </c>
      <c r="K113" s="78">
        <v>6737875.3499999996</v>
      </c>
      <c r="L113" s="78">
        <v>553778.31000000006</v>
      </c>
      <c r="M113" s="78">
        <v>25.37</v>
      </c>
      <c r="N113" s="78">
        <v>90.96</v>
      </c>
      <c r="O113" s="78"/>
      <c r="P113" s="78">
        <v>1.5</v>
      </c>
      <c r="Q113" s="78">
        <v>0</v>
      </c>
      <c r="R113" s="78">
        <v>1.5</v>
      </c>
      <c r="S113" s="79"/>
    </row>
    <row r="114" spans="2:19" ht="12" customHeight="1" x14ac:dyDescent="0.25">
      <c r="B114" s="78">
        <v>1080</v>
      </c>
      <c r="C114" s="78">
        <v>22.5</v>
      </c>
      <c r="D114" s="78">
        <v>100.24</v>
      </c>
      <c r="E114" s="78">
        <v>90.09</v>
      </c>
      <c r="F114" s="78">
        <v>90.96</v>
      </c>
      <c r="G114" s="78">
        <v>1076.17</v>
      </c>
      <c r="H114" s="78">
        <v>-569.33000000000004</v>
      </c>
      <c r="I114" s="78">
        <v>-0.48</v>
      </c>
      <c r="J114" s="78">
        <v>29.07</v>
      </c>
      <c r="K114" s="78">
        <v>6737875.3399999999</v>
      </c>
      <c r="L114" s="78">
        <v>553782.02</v>
      </c>
      <c r="M114" s="78">
        <v>29.08</v>
      </c>
      <c r="N114" s="78">
        <v>90.96</v>
      </c>
      <c r="O114" s="78"/>
      <c r="P114" s="78">
        <v>1.5</v>
      </c>
      <c r="Q114" s="78">
        <v>0</v>
      </c>
      <c r="R114" s="78">
        <v>1.5</v>
      </c>
      <c r="S114" s="79"/>
    </row>
    <row r="115" spans="2:19" ht="12" customHeight="1" x14ac:dyDescent="0.25">
      <c r="B115" s="78">
        <v>1090</v>
      </c>
      <c r="C115" s="78">
        <v>24</v>
      </c>
      <c r="D115" s="78">
        <v>100.24</v>
      </c>
      <c r="E115" s="78">
        <v>90.09</v>
      </c>
      <c r="F115" s="78">
        <v>90.96</v>
      </c>
      <c r="G115" s="78">
        <v>1085.3599999999999</v>
      </c>
      <c r="H115" s="78">
        <v>-578.52</v>
      </c>
      <c r="I115" s="78">
        <v>-0.55000000000000004</v>
      </c>
      <c r="J115" s="78">
        <v>33.020000000000003</v>
      </c>
      <c r="K115" s="78">
        <v>6737875.3399999999</v>
      </c>
      <c r="L115" s="78">
        <v>553785.96</v>
      </c>
      <c r="M115" s="78">
        <v>33.020000000000003</v>
      </c>
      <c r="N115" s="78">
        <v>90.96</v>
      </c>
      <c r="O115" s="78"/>
      <c r="P115" s="78">
        <v>1.5</v>
      </c>
      <c r="Q115" s="78">
        <v>0</v>
      </c>
      <c r="R115" s="78">
        <v>1.5</v>
      </c>
      <c r="S115" s="79"/>
    </row>
    <row r="116" spans="2:19" ht="12" customHeight="1" x14ac:dyDescent="0.25">
      <c r="B116" s="78">
        <v>1100</v>
      </c>
      <c r="C116" s="78">
        <v>25.5</v>
      </c>
      <c r="D116" s="78">
        <v>100.24</v>
      </c>
      <c r="E116" s="78">
        <v>90.09</v>
      </c>
      <c r="F116" s="78">
        <v>90.96</v>
      </c>
      <c r="G116" s="78">
        <v>1094.44</v>
      </c>
      <c r="H116" s="78">
        <v>-587.6</v>
      </c>
      <c r="I116" s="78">
        <v>-0.62</v>
      </c>
      <c r="J116" s="78">
        <v>37.200000000000003</v>
      </c>
      <c r="K116" s="78">
        <v>6737875.3300000001</v>
      </c>
      <c r="L116" s="78">
        <v>553790.15</v>
      </c>
      <c r="M116" s="78">
        <v>37.21</v>
      </c>
      <c r="N116" s="78">
        <v>90.96</v>
      </c>
      <c r="O116" s="78"/>
      <c r="P116" s="78">
        <v>1.5</v>
      </c>
      <c r="Q116" s="78">
        <v>0</v>
      </c>
      <c r="R116" s="78">
        <v>1.5</v>
      </c>
      <c r="S116" s="79"/>
    </row>
    <row r="117" spans="2:19" ht="12" customHeight="1" x14ac:dyDescent="0.25">
      <c r="B117" s="78">
        <v>1110</v>
      </c>
      <c r="C117" s="78">
        <v>27</v>
      </c>
      <c r="D117" s="78">
        <v>100.24</v>
      </c>
      <c r="E117" s="78">
        <v>90.09</v>
      </c>
      <c r="F117" s="78">
        <v>90.96</v>
      </c>
      <c r="G117" s="78">
        <v>1103.4100000000001</v>
      </c>
      <c r="H117" s="78">
        <v>-596.57000000000005</v>
      </c>
      <c r="I117" s="78">
        <v>-0.69</v>
      </c>
      <c r="J117" s="78">
        <v>41.63</v>
      </c>
      <c r="K117" s="78">
        <v>6737875.3200000003</v>
      </c>
      <c r="L117" s="78">
        <v>553794.56999999995</v>
      </c>
      <c r="M117" s="78">
        <v>41.63</v>
      </c>
      <c r="N117" s="78">
        <v>90.96</v>
      </c>
      <c r="O117" s="78"/>
      <c r="P117" s="78">
        <v>1.5</v>
      </c>
      <c r="Q117" s="78">
        <v>0</v>
      </c>
      <c r="R117" s="78">
        <v>1.5</v>
      </c>
      <c r="S117" s="79"/>
    </row>
    <row r="118" spans="2:19" ht="12" customHeight="1" x14ac:dyDescent="0.25">
      <c r="B118" s="78">
        <v>1120</v>
      </c>
      <c r="C118" s="78">
        <v>28.5</v>
      </c>
      <c r="D118" s="78">
        <v>100.24</v>
      </c>
      <c r="E118" s="78">
        <v>90.09</v>
      </c>
      <c r="F118" s="78">
        <v>90.96</v>
      </c>
      <c r="G118" s="78">
        <v>1112.26</v>
      </c>
      <c r="H118" s="78">
        <v>-605.41999999999996</v>
      </c>
      <c r="I118" s="78">
        <v>-0.77</v>
      </c>
      <c r="J118" s="78">
        <v>46.28</v>
      </c>
      <c r="K118" s="78">
        <v>6737875.3099999996</v>
      </c>
      <c r="L118" s="78">
        <v>553799.23</v>
      </c>
      <c r="M118" s="78">
        <v>46.29</v>
      </c>
      <c r="N118" s="78">
        <v>90.96</v>
      </c>
      <c r="O118" s="78"/>
      <c r="P118" s="78">
        <v>1.5</v>
      </c>
      <c r="Q118" s="78">
        <v>0</v>
      </c>
      <c r="R118" s="78">
        <v>1.5</v>
      </c>
      <c r="S118" s="79"/>
    </row>
    <row r="119" spans="2:19" ht="12" customHeight="1" x14ac:dyDescent="0.25">
      <c r="B119" s="78">
        <v>1130</v>
      </c>
      <c r="C119" s="78">
        <v>30</v>
      </c>
      <c r="D119" s="78">
        <v>100.24</v>
      </c>
      <c r="E119" s="78">
        <v>90.09</v>
      </c>
      <c r="F119" s="78">
        <v>90.96</v>
      </c>
      <c r="G119" s="78">
        <v>1120.99</v>
      </c>
      <c r="H119" s="78">
        <v>-614.15</v>
      </c>
      <c r="I119" s="78">
        <v>-0.85</v>
      </c>
      <c r="J119" s="78">
        <v>51.17</v>
      </c>
      <c r="K119" s="78">
        <v>6737875.3099999996</v>
      </c>
      <c r="L119" s="78">
        <v>553804.11</v>
      </c>
      <c r="M119" s="78">
        <v>51.17</v>
      </c>
      <c r="N119" s="78">
        <v>90.96</v>
      </c>
      <c r="O119" s="78"/>
      <c r="P119" s="78">
        <v>1.5</v>
      </c>
      <c r="Q119" s="78">
        <v>0</v>
      </c>
      <c r="R119" s="78">
        <v>1.5</v>
      </c>
      <c r="S119" s="79"/>
    </row>
    <row r="120" spans="2:19" ht="12" customHeight="1" x14ac:dyDescent="0.25">
      <c r="B120" s="78">
        <v>1134.28</v>
      </c>
      <c r="C120" s="78">
        <v>30.64</v>
      </c>
      <c r="D120" s="78">
        <v>100.24</v>
      </c>
      <c r="E120" s="78">
        <v>90.09</v>
      </c>
      <c r="F120" s="78">
        <v>90.96</v>
      </c>
      <c r="G120" s="78">
        <v>1124.68</v>
      </c>
      <c r="H120" s="78">
        <v>-617.84</v>
      </c>
      <c r="I120" s="78">
        <v>-0.89</v>
      </c>
      <c r="J120" s="78">
        <v>53.33</v>
      </c>
      <c r="K120" s="78">
        <v>6737875.2999999998</v>
      </c>
      <c r="L120" s="78">
        <v>553806.27</v>
      </c>
      <c r="M120" s="78">
        <v>53.33</v>
      </c>
      <c r="N120" s="78">
        <v>90.96</v>
      </c>
      <c r="O120" s="78"/>
      <c r="P120" s="78">
        <v>1.5</v>
      </c>
      <c r="Q120" s="78">
        <v>90.96</v>
      </c>
      <c r="R120" s="78">
        <v>1.5</v>
      </c>
      <c r="S120" s="79" t="s">
        <v>41</v>
      </c>
    </row>
    <row r="121" spans="2:19" ht="12" customHeight="1" x14ac:dyDescent="0.25">
      <c r="B121" s="78">
        <v>1140</v>
      </c>
      <c r="C121" s="78">
        <v>31.5</v>
      </c>
      <c r="D121" s="78">
        <v>100.24</v>
      </c>
      <c r="E121" s="78">
        <v>90.09</v>
      </c>
      <c r="F121" s="78">
        <v>90.96</v>
      </c>
      <c r="G121" s="78">
        <v>1129.58</v>
      </c>
      <c r="H121" s="78">
        <v>-622.74</v>
      </c>
      <c r="I121" s="78">
        <v>-0.94</v>
      </c>
      <c r="J121" s="78">
        <v>56.28</v>
      </c>
      <c r="K121" s="78">
        <v>6737875.2999999998</v>
      </c>
      <c r="L121" s="78">
        <v>553809.23</v>
      </c>
      <c r="M121" s="78">
        <v>56.29</v>
      </c>
      <c r="N121" s="78">
        <v>90.96</v>
      </c>
      <c r="O121" s="78"/>
      <c r="P121" s="78">
        <v>1.5</v>
      </c>
      <c r="Q121" s="78">
        <v>0</v>
      </c>
      <c r="R121" s="78">
        <v>1.5</v>
      </c>
      <c r="S121" s="79"/>
    </row>
    <row r="122" spans="2:19" ht="12" customHeight="1" x14ac:dyDescent="0.25">
      <c r="B122" s="78">
        <v>1150</v>
      </c>
      <c r="C122" s="78">
        <v>33</v>
      </c>
      <c r="D122" s="78">
        <v>100.24</v>
      </c>
      <c r="E122" s="78">
        <v>90.09</v>
      </c>
      <c r="F122" s="78">
        <v>90.96</v>
      </c>
      <c r="G122" s="78">
        <v>1138.04</v>
      </c>
      <c r="H122" s="78">
        <v>-631.20000000000005</v>
      </c>
      <c r="I122" s="78">
        <v>-1.03</v>
      </c>
      <c r="J122" s="78">
        <v>61.61</v>
      </c>
      <c r="K122" s="78">
        <v>6737875.29</v>
      </c>
      <c r="L122" s="78">
        <v>553814.56000000006</v>
      </c>
      <c r="M122" s="78">
        <v>61.62</v>
      </c>
      <c r="N122" s="78">
        <v>90.96</v>
      </c>
      <c r="O122" s="78"/>
      <c r="P122" s="78">
        <v>1.5</v>
      </c>
      <c r="Q122" s="78">
        <v>0</v>
      </c>
      <c r="R122" s="78">
        <v>1.5</v>
      </c>
      <c r="S122" s="79"/>
    </row>
    <row r="123" spans="2:19" ht="12" customHeight="1" x14ac:dyDescent="0.25">
      <c r="B123" s="78">
        <v>1160</v>
      </c>
      <c r="C123" s="78">
        <v>34.5</v>
      </c>
      <c r="D123" s="78">
        <v>100.24</v>
      </c>
      <c r="E123" s="78">
        <v>90.09</v>
      </c>
      <c r="F123" s="78">
        <v>90.96</v>
      </c>
      <c r="G123" s="78">
        <v>1146.3499999999999</v>
      </c>
      <c r="H123" s="78">
        <v>-639.51</v>
      </c>
      <c r="I123" s="78">
        <v>-1.1200000000000001</v>
      </c>
      <c r="J123" s="78">
        <v>67.17</v>
      </c>
      <c r="K123" s="78">
        <v>6737875.2800000003</v>
      </c>
      <c r="L123" s="78">
        <v>553820.12</v>
      </c>
      <c r="M123" s="78">
        <v>67.180000000000007</v>
      </c>
      <c r="N123" s="78">
        <v>90.96</v>
      </c>
      <c r="O123" s="78"/>
      <c r="P123" s="78">
        <v>1.5</v>
      </c>
      <c r="Q123" s="78">
        <v>0</v>
      </c>
      <c r="R123" s="78">
        <v>1.5</v>
      </c>
      <c r="S123" s="79"/>
    </row>
    <row r="124" spans="2:19" ht="12" customHeight="1" x14ac:dyDescent="0.25">
      <c r="B124" s="78">
        <v>1170</v>
      </c>
      <c r="C124" s="78">
        <v>36</v>
      </c>
      <c r="D124" s="78">
        <v>100.24</v>
      </c>
      <c r="E124" s="78">
        <v>90.09</v>
      </c>
      <c r="F124" s="78">
        <v>90.96</v>
      </c>
      <c r="G124" s="78">
        <v>1154.52</v>
      </c>
      <c r="H124" s="78">
        <v>-647.67999999999995</v>
      </c>
      <c r="I124" s="78">
        <v>-1.22</v>
      </c>
      <c r="J124" s="78">
        <v>72.94</v>
      </c>
      <c r="K124" s="78">
        <v>6737875.2699999996</v>
      </c>
      <c r="L124" s="78">
        <v>553825.89</v>
      </c>
      <c r="M124" s="78">
        <v>72.95</v>
      </c>
      <c r="N124" s="78">
        <v>90.96</v>
      </c>
      <c r="O124" s="78"/>
      <c r="P124" s="78">
        <v>1.5</v>
      </c>
      <c r="Q124" s="78">
        <v>0</v>
      </c>
      <c r="R124" s="78">
        <v>1.5</v>
      </c>
      <c r="S124" s="79"/>
    </row>
    <row r="125" spans="2:19" ht="12" customHeight="1" x14ac:dyDescent="0.25">
      <c r="B125" s="78">
        <v>1180</v>
      </c>
      <c r="C125" s="78">
        <v>37.5</v>
      </c>
      <c r="D125" s="78">
        <v>100.24</v>
      </c>
      <c r="E125" s="78">
        <v>90.09</v>
      </c>
      <c r="F125" s="78">
        <v>90.96</v>
      </c>
      <c r="G125" s="78">
        <v>1162.53</v>
      </c>
      <c r="H125" s="78">
        <v>-655.69</v>
      </c>
      <c r="I125" s="78">
        <v>-1.32</v>
      </c>
      <c r="J125" s="78">
        <v>78.92</v>
      </c>
      <c r="K125" s="78">
        <v>6737875.2599999998</v>
      </c>
      <c r="L125" s="78">
        <v>553831.87</v>
      </c>
      <c r="M125" s="78">
        <v>78.930000000000007</v>
      </c>
      <c r="N125" s="78">
        <v>90.96</v>
      </c>
      <c r="O125" s="78"/>
      <c r="P125" s="78">
        <v>1.5</v>
      </c>
      <c r="Q125" s="78">
        <v>0</v>
      </c>
      <c r="R125" s="78">
        <v>1.5</v>
      </c>
      <c r="S125" s="79"/>
    </row>
    <row r="126" spans="2:19" ht="12" customHeight="1" x14ac:dyDescent="0.25">
      <c r="B126" s="78">
        <v>1190</v>
      </c>
      <c r="C126" s="78">
        <v>39</v>
      </c>
      <c r="D126" s="78">
        <v>100.24</v>
      </c>
      <c r="E126" s="78">
        <v>90.09</v>
      </c>
      <c r="F126" s="78">
        <v>90.96</v>
      </c>
      <c r="G126" s="78">
        <v>1170.3800000000001</v>
      </c>
      <c r="H126" s="78">
        <v>-663.54</v>
      </c>
      <c r="I126" s="78">
        <v>-1.42</v>
      </c>
      <c r="J126" s="78">
        <v>85.11</v>
      </c>
      <c r="K126" s="78">
        <v>6737875.25</v>
      </c>
      <c r="L126" s="78">
        <v>553838.06000000006</v>
      </c>
      <c r="M126" s="78">
        <v>85.12</v>
      </c>
      <c r="N126" s="78">
        <v>90.96</v>
      </c>
      <c r="O126" s="78"/>
      <c r="P126" s="78">
        <v>1.5</v>
      </c>
      <c r="Q126" s="78">
        <v>0</v>
      </c>
      <c r="R126" s="78">
        <v>1.5</v>
      </c>
      <c r="S126" s="79"/>
    </row>
    <row r="127" spans="2:19" ht="12" customHeight="1" x14ac:dyDescent="0.25">
      <c r="B127" s="78">
        <v>1200</v>
      </c>
      <c r="C127" s="78">
        <v>40.5</v>
      </c>
      <c r="D127" s="78">
        <v>100.24</v>
      </c>
      <c r="E127" s="78">
        <v>90.09</v>
      </c>
      <c r="F127" s="78">
        <v>90.96</v>
      </c>
      <c r="G127" s="78">
        <v>1178.07</v>
      </c>
      <c r="H127" s="78">
        <v>-671.23</v>
      </c>
      <c r="I127" s="78">
        <v>-1.53</v>
      </c>
      <c r="J127" s="78">
        <v>91.5</v>
      </c>
      <c r="K127" s="78">
        <v>6737875.2400000002</v>
      </c>
      <c r="L127" s="78">
        <v>553844.46</v>
      </c>
      <c r="M127" s="78">
        <v>91.52</v>
      </c>
      <c r="N127" s="78">
        <v>90.96</v>
      </c>
      <c r="O127" s="78"/>
      <c r="P127" s="78">
        <v>1.5</v>
      </c>
      <c r="Q127" s="78">
        <v>0</v>
      </c>
      <c r="R127" s="78">
        <v>1.5</v>
      </c>
      <c r="S127" s="79"/>
    </row>
    <row r="128" spans="2:19" ht="12" customHeight="1" x14ac:dyDescent="0.25">
      <c r="B128" s="78">
        <v>1210</v>
      </c>
      <c r="C128" s="78">
        <v>42</v>
      </c>
      <c r="D128" s="78">
        <v>100.24</v>
      </c>
      <c r="E128" s="78">
        <v>90.09</v>
      </c>
      <c r="F128" s="78">
        <v>90.96</v>
      </c>
      <c r="G128" s="78">
        <v>1185.5899999999999</v>
      </c>
      <c r="H128" s="78">
        <v>-678.75</v>
      </c>
      <c r="I128" s="78">
        <v>-1.64</v>
      </c>
      <c r="J128" s="78">
        <v>98.1</v>
      </c>
      <c r="K128" s="78">
        <v>6737875.2300000004</v>
      </c>
      <c r="L128" s="78">
        <v>553851.05000000005</v>
      </c>
      <c r="M128" s="78">
        <v>98.11</v>
      </c>
      <c r="N128" s="78">
        <v>90.96</v>
      </c>
      <c r="O128" s="78"/>
      <c r="P128" s="78">
        <v>1.5</v>
      </c>
      <c r="Q128" s="78">
        <v>0</v>
      </c>
      <c r="R128" s="78">
        <v>1.5</v>
      </c>
      <c r="S128" s="79"/>
    </row>
    <row r="129" spans="2:19" ht="12" customHeight="1" x14ac:dyDescent="0.25">
      <c r="B129" s="78">
        <v>1220</v>
      </c>
      <c r="C129" s="78">
        <v>43.5</v>
      </c>
      <c r="D129" s="78">
        <v>100.24</v>
      </c>
      <c r="E129" s="78">
        <v>90.09</v>
      </c>
      <c r="F129" s="78">
        <v>90.96</v>
      </c>
      <c r="G129" s="78">
        <v>1192.93</v>
      </c>
      <c r="H129" s="78">
        <v>-686.09</v>
      </c>
      <c r="I129" s="78">
        <v>-1.75</v>
      </c>
      <c r="J129" s="78">
        <v>104.88</v>
      </c>
      <c r="K129" s="78">
        <v>6737875.2199999997</v>
      </c>
      <c r="L129" s="78">
        <v>553857.84</v>
      </c>
      <c r="M129" s="78">
        <v>104.9</v>
      </c>
      <c r="N129" s="78">
        <v>90.96</v>
      </c>
      <c r="O129" s="78"/>
      <c r="P129" s="78">
        <v>1.5</v>
      </c>
      <c r="Q129" s="78">
        <v>0</v>
      </c>
      <c r="R129" s="78">
        <v>1.5</v>
      </c>
      <c r="S129" s="79"/>
    </row>
    <row r="130" spans="2:19" ht="12" customHeight="1" x14ac:dyDescent="0.25">
      <c r="B130" s="78">
        <v>1230</v>
      </c>
      <c r="C130" s="78">
        <v>45</v>
      </c>
      <c r="D130" s="78">
        <v>100.24</v>
      </c>
      <c r="E130" s="78">
        <v>90.09</v>
      </c>
      <c r="F130" s="78">
        <v>90.96</v>
      </c>
      <c r="G130" s="78">
        <v>1200.0999999999999</v>
      </c>
      <c r="H130" s="78">
        <v>-693.26</v>
      </c>
      <c r="I130" s="78">
        <v>-1.87</v>
      </c>
      <c r="J130" s="78">
        <v>111.86</v>
      </c>
      <c r="K130" s="78">
        <v>6737875.21</v>
      </c>
      <c r="L130" s="78">
        <v>553864.81999999995</v>
      </c>
      <c r="M130" s="78">
        <v>111.88</v>
      </c>
      <c r="N130" s="78">
        <v>90.96</v>
      </c>
      <c r="O130" s="78"/>
      <c r="P130" s="78">
        <v>1.5</v>
      </c>
      <c r="Q130" s="78">
        <v>0</v>
      </c>
      <c r="R130" s="78">
        <v>1.5</v>
      </c>
      <c r="S130" s="79"/>
    </row>
    <row r="131" spans="2:19" ht="12" customHeight="1" x14ac:dyDescent="0.25">
      <c r="B131" s="78">
        <v>1240</v>
      </c>
      <c r="C131" s="78">
        <v>46.5</v>
      </c>
      <c r="D131" s="78">
        <v>100.24</v>
      </c>
      <c r="E131" s="78">
        <v>90.09</v>
      </c>
      <c r="F131" s="78">
        <v>90.96</v>
      </c>
      <c r="G131" s="78">
        <v>1207.07</v>
      </c>
      <c r="H131" s="78">
        <v>-700.23</v>
      </c>
      <c r="I131" s="78">
        <v>-1.99</v>
      </c>
      <c r="J131" s="78">
        <v>119.02</v>
      </c>
      <c r="K131" s="78">
        <v>6737875.1900000004</v>
      </c>
      <c r="L131" s="78">
        <v>553871.98</v>
      </c>
      <c r="M131" s="78">
        <v>119.04</v>
      </c>
      <c r="N131" s="78">
        <v>90.96</v>
      </c>
      <c r="O131" s="78"/>
      <c r="P131" s="78">
        <v>1.5</v>
      </c>
      <c r="Q131" s="78">
        <v>0</v>
      </c>
      <c r="R131" s="78">
        <v>1.5</v>
      </c>
      <c r="S131" s="79"/>
    </row>
    <row r="132" spans="2:19" ht="12" customHeight="1" x14ac:dyDescent="0.25">
      <c r="B132" s="78">
        <v>1242.08</v>
      </c>
      <c r="C132" s="78">
        <v>46.81</v>
      </c>
      <c r="D132" s="78">
        <v>100.24</v>
      </c>
      <c r="E132" s="78">
        <v>90.09</v>
      </c>
      <c r="F132" s="78">
        <v>90.96</v>
      </c>
      <c r="G132" s="78">
        <v>1208.5</v>
      </c>
      <c r="H132" s="78">
        <v>-701.66</v>
      </c>
      <c r="I132" s="78">
        <v>-2.0099999999999998</v>
      </c>
      <c r="J132" s="78">
        <v>120.53</v>
      </c>
      <c r="K132" s="78">
        <v>6737875.1900000004</v>
      </c>
      <c r="L132" s="78">
        <v>553873.49</v>
      </c>
      <c r="M132" s="78">
        <v>120.55</v>
      </c>
      <c r="N132" s="78">
        <v>90.96</v>
      </c>
      <c r="O132" s="78"/>
      <c r="P132" s="78">
        <v>1.5</v>
      </c>
      <c r="Q132" s="78">
        <v>90.96</v>
      </c>
      <c r="R132" s="78">
        <v>1.5</v>
      </c>
      <c r="S132" s="79" t="s">
        <v>42</v>
      </c>
    </row>
    <row r="133" spans="2:19" ht="12" customHeight="1" x14ac:dyDescent="0.25">
      <c r="B133" s="78">
        <v>1250</v>
      </c>
      <c r="C133" s="78">
        <v>48</v>
      </c>
      <c r="D133" s="78">
        <v>100.24</v>
      </c>
      <c r="E133" s="78">
        <v>90.09</v>
      </c>
      <c r="F133" s="78">
        <v>90.96</v>
      </c>
      <c r="G133" s="78">
        <v>1213.8599999999999</v>
      </c>
      <c r="H133" s="78">
        <v>-707.02</v>
      </c>
      <c r="I133" s="78">
        <v>-2.11</v>
      </c>
      <c r="J133" s="78">
        <v>126.36</v>
      </c>
      <c r="K133" s="78">
        <v>6737875.1799999997</v>
      </c>
      <c r="L133" s="78">
        <v>553879.31999999995</v>
      </c>
      <c r="M133" s="78">
        <v>126.38</v>
      </c>
      <c r="N133" s="78">
        <v>90.96</v>
      </c>
      <c r="O133" s="78"/>
      <c r="P133" s="78">
        <v>1.5</v>
      </c>
      <c r="Q133" s="78">
        <v>0</v>
      </c>
      <c r="R133" s="78">
        <v>1.5</v>
      </c>
      <c r="S133" s="79"/>
    </row>
    <row r="134" spans="2:19" ht="12" customHeight="1" x14ac:dyDescent="0.25">
      <c r="B134" s="78">
        <v>1260</v>
      </c>
      <c r="C134" s="78">
        <v>49.5</v>
      </c>
      <c r="D134" s="78">
        <v>100.24</v>
      </c>
      <c r="E134" s="78">
        <v>90.09</v>
      </c>
      <c r="F134" s="78">
        <v>90.96</v>
      </c>
      <c r="G134" s="78">
        <v>1220.45</v>
      </c>
      <c r="H134" s="78">
        <v>-713.61</v>
      </c>
      <c r="I134" s="78">
        <v>-2.23</v>
      </c>
      <c r="J134" s="78">
        <v>133.88</v>
      </c>
      <c r="K134" s="78">
        <v>6737875.1699999999</v>
      </c>
      <c r="L134" s="78">
        <v>553886.84</v>
      </c>
      <c r="M134" s="78">
        <v>133.9</v>
      </c>
      <c r="N134" s="78">
        <v>90.96</v>
      </c>
      <c r="O134" s="78"/>
      <c r="P134" s="78">
        <v>1.5</v>
      </c>
      <c r="Q134" s="78">
        <v>0</v>
      </c>
      <c r="R134" s="78">
        <v>1.5</v>
      </c>
      <c r="S134" s="79"/>
    </row>
    <row r="135" spans="2:19" ht="12" customHeight="1" x14ac:dyDescent="0.25">
      <c r="B135" s="78">
        <v>1269.6199999999999</v>
      </c>
      <c r="C135" s="78">
        <v>50.94</v>
      </c>
      <c r="D135" s="78">
        <v>100.24</v>
      </c>
      <c r="E135" s="78">
        <v>90.09</v>
      </c>
      <c r="F135" s="78">
        <v>90.96</v>
      </c>
      <c r="G135" s="78">
        <v>1226.6099999999999</v>
      </c>
      <c r="H135" s="78">
        <v>-719.77</v>
      </c>
      <c r="I135" s="78">
        <v>-2.36</v>
      </c>
      <c r="J135" s="78">
        <v>141.27000000000001</v>
      </c>
      <c r="K135" s="78">
        <v>6737875.1600000001</v>
      </c>
      <c r="L135" s="78">
        <v>553894.23</v>
      </c>
      <c r="M135" s="78">
        <v>141.29</v>
      </c>
      <c r="N135" s="78">
        <v>90.96</v>
      </c>
      <c r="O135" s="78"/>
      <c r="P135" s="78">
        <v>1.5</v>
      </c>
      <c r="Q135" s="78">
        <v>0</v>
      </c>
      <c r="R135" s="78">
        <v>1.5</v>
      </c>
      <c r="S135" s="79"/>
    </row>
    <row r="136" spans="2:19" ht="12" customHeight="1" x14ac:dyDescent="0.25">
      <c r="B136" s="78">
        <v>1270</v>
      </c>
      <c r="C136" s="78">
        <v>50.94</v>
      </c>
      <c r="D136" s="78">
        <v>100.24</v>
      </c>
      <c r="E136" s="78">
        <v>90.09</v>
      </c>
      <c r="F136" s="78">
        <v>90.96</v>
      </c>
      <c r="G136" s="78">
        <v>1226.8499999999999</v>
      </c>
      <c r="H136" s="78">
        <v>-720.01</v>
      </c>
      <c r="I136" s="78">
        <v>-2.36</v>
      </c>
      <c r="J136" s="78">
        <v>141.57</v>
      </c>
      <c r="K136" s="78">
        <v>6737875.1600000001</v>
      </c>
      <c r="L136" s="78">
        <v>553894.53</v>
      </c>
      <c r="M136" s="78">
        <v>141.59</v>
      </c>
      <c r="N136" s="78">
        <v>90.96</v>
      </c>
      <c r="O136" s="78"/>
      <c r="P136" s="78">
        <v>0</v>
      </c>
      <c r="Q136" s="78">
        <v>0</v>
      </c>
      <c r="R136" s="78">
        <v>0</v>
      </c>
      <c r="S136" s="79"/>
    </row>
    <row r="137" spans="2:19" ht="12" customHeight="1" x14ac:dyDescent="0.25">
      <c r="B137" s="78">
        <v>1280</v>
      </c>
      <c r="C137" s="78">
        <v>50.94</v>
      </c>
      <c r="D137" s="78">
        <v>100.24</v>
      </c>
      <c r="E137" s="78">
        <v>90.09</v>
      </c>
      <c r="F137" s="78">
        <v>90.96</v>
      </c>
      <c r="G137" s="78">
        <v>1233.1500000000001</v>
      </c>
      <c r="H137" s="78">
        <v>-726.31</v>
      </c>
      <c r="I137" s="78">
        <v>-2.4900000000000002</v>
      </c>
      <c r="J137" s="78">
        <v>149.33000000000001</v>
      </c>
      <c r="K137" s="78">
        <v>6737875.1399999997</v>
      </c>
      <c r="L137" s="78">
        <v>553902.29</v>
      </c>
      <c r="M137" s="78">
        <v>149.35</v>
      </c>
      <c r="N137" s="78">
        <v>90.96</v>
      </c>
      <c r="O137" s="78"/>
      <c r="P137" s="78">
        <v>0</v>
      </c>
      <c r="Q137" s="78">
        <v>0</v>
      </c>
      <c r="R137" s="78">
        <v>0</v>
      </c>
      <c r="S137" s="79"/>
    </row>
    <row r="138" spans="2:19" ht="12" customHeight="1" x14ac:dyDescent="0.25">
      <c r="B138" s="78">
        <v>1290</v>
      </c>
      <c r="C138" s="78">
        <v>50.94</v>
      </c>
      <c r="D138" s="78">
        <v>100.24</v>
      </c>
      <c r="E138" s="78">
        <v>90.09</v>
      </c>
      <c r="F138" s="78">
        <v>90.96</v>
      </c>
      <c r="G138" s="78">
        <v>1239.45</v>
      </c>
      <c r="H138" s="78">
        <v>-732.61</v>
      </c>
      <c r="I138" s="78">
        <v>-2.62</v>
      </c>
      <c r="J138" s="78">
        <v>157.1</v>
      </c>
      <c r="K138" s="78">
        <v>6737875.1299999999</v>
      </c>
      <c r="L138" s="78">
        <v>553910.06000000006</v>
      </c>
      <c r="M138" s="78">
        <v>157.12</v>
      </c>
      <c r="N138" s="78">
        <v>90.96</v>
      </c>
      <c r="O138" s="78"/>
      <c r="P138" s="78">
        <v>0</v>
      </c>
      <c r="Q138" s="78">
        <v>0</v>
      </c>
      <c r="R138" s="78">
        <v>0</v>
      </c>
      <c r="S138" s="79"/>
    </row>
    <row r="139" spans="2:19" ht="12" customHeight="1" x14ac:dyDescent="0.25">
      <c r="B139" s="78">
        <v>1300</v>
      </c>
      <c r="C139" s="78">
        <v>50.94</v>
      </c>
      <c r="D139" s="78">
        <v>100.24</v>
      </c>
      <c r="E139" s="78">
        <v>90.09</v>
      </c>
      <c r="F139" s="78">
        <v>90.96</v>
      </c>
      <c r="G139" s="78">
        <v>1245.75</v>
      </c>
      <c r="H139" s="78">
        <v>-738.91</v>
      </c>
      <c r="I139" s="78">
        <v>-2.75</v>
      </c>
      <c r="J139" s="78">
        <v>164.86</v>
      </c>
      <c r="K139" s="78">
        <v>6737875.1200000001</v>
      </c>
      <c r="L139" s="78">
        <v>553917.81999999995</v>
      </c>
      <c r="M139" s="78">
        <v>164.88</v>
      </c>
      <c r="N139" s="78">
        <v>90.96</v>
      </c>
      <c r="O139" s="78"/>
      <c r="P139" s="78">
        <v>0</v>
      </c>
      <c r="Q139" s="78">
        <v>0</v>
      </c>
      <c r="R139" s="78">
        <v>0</v>
      </c>
      <c r="S139" s="79"/>
    </row>
    <row r="140" spans="2:19" ht="12" customHeight="1" x14ac:dyDescent="0.25">
      <c r="B140" s="78">
        <v>1310</v>
      </c>
      <c r="C140" s="78">
        <v>50.94</v>
      </c>
      <c r="D140" s="78">
        <v>100.24</v>
      </c>
      <c r="E140" s="78">
        <v>90.09</v>
      </c>
      <c r="F140" s="78">
        <v>90.96</v>
      </c>
      <c r="G140" s="78">
        <v>1252.05</v>
      </c>
      <c r="H140" s="78">
        <v>-745.21</v>
      </c>
      <c r="I140" s="78">
        <v>-2.88</v>
      </c>
      <c r="J140" s="78">
        <v>172.62</v>
      </c>
      <c r="K140" s="78">
        <v>6737875.0999999996</v>
      </c>
      <c r="L140" s="78">
        <v>553925.59</v>
      </c>
      <c r="M140" s="78">
        <v>172.65</v>
      </c>
      <c r="N140" s="78">
        <v>90.96</v>
      </c>
      <c r="O140" s="78"/>
      <c r="P140" s="78">
        <v>0</v>
      </c>
      <c r="Q140" s="78">
        <v>0</v>
      </c>
      <c r="R140" s="78">
        <v>0</v>
      </c>
      <c r="S140" s="79"/>
    </row>
    <row r="141" spans="2:19" ht="12" customHeight="1" x14ac:dyDescent="0.25">
      <c r="B141" s="78">
        <v>1320</v>
      </c>
      <c r="C141" s="78">
        <v>50.94</v>
      </c>
      <c r="D141" s="78">
        <v>100.24</v>
      </c>
      <c r="E141" s="78">
        <v>90.09</v>
      </c>
      <c r="F141" s="78">
        <v>90.96</v>
      </c>
      <c r="G141" s="78">
        <v>1258.3499999999999</v>
      </c>
      <c r="H141" s="78">
        <v>-751.51</v>
      </c>
      <c r="I141" s="78">
        <v>-3.01</v>
      </c>
      <c r="J141" s="78">
        <v>180.39</v>
      </c>
      <c r="K141" s="78">
        <v>6737875.0899999999</v>
      </c>
      <c r="L141" s="78">
        <v>553933.35</v>
      </c>
      <c r="M141" s="78">
        <v>180.41</v>
      </c>
      <c r="N141" s="78">
        <v>90.96</v>
      </c>
      <c r="O141" s="78"/>
      <c r="P141" s="78">
        <v>0</v>
      </c>
      <c r="Q141" s="78">
        <v>0</v>
      </c>
      <c r="R141" s="78">
        <v>0</v>
      </c>
      <c r="S141" s="79"/>
    </row>
    <row r="142" spans="2:19" ht="12" customHeight="1" x14ac:dyDescent="0.25">
      <c r="B142" s="78">
        <v>1330</v>
      </c>
      <c r="C142" s="78">
        <v>50.94</v>
      </c>
      <c r="D142" s="78">
        <v>100.24</v>
      </c>
      <c r="E142" s="78">
        <v>90.09</v>
      </c>
      <c r="F142" s="78">
        <v>90.96</v>
      </c>
      <c r="G142" s="78">
        <v>1264.6500000000001</v>
      </c>
      <c r="H142" s="78">
        <v>-757.81</v>
      </c>
      <c r="I142" s="78">
        <v>-3.14</v>
      </c>
      <c r="J142" s="78">
        <v>188.15</v>
      </c>
      <c r="K142" s="78">
        <v>6737875.0800000001</v>
      </c>
      <c r="L142" s="78">
        <v>553941.12</v>
      </c>
      <c r="M142" s="78">
        <v>188.18</v>
      </c>
      <c r="N142" s="78">
        <v>90.96</v>
      </c>
      <c r="O142" s="78"/>
      <c r="P142" s="78">
        <v>0</v>
      </c>
      <c r="Q142" s="78">
        <v>0</v>
      </c>
      <c r="R142" s="78">
        <v>0</v>
      </c>
      <c r="S142" s="79"/>
    </row>
    <row r="143" spans="2:19" ht="12" customHeight="1" x14ac:dyDescent="0.25">
      <c r="B143" s="78">
        <v>1340</v>
      </c>
      <c r="C143" s="78">
        <v>50.94</v>
      </c>
      <c r="D143" s="78">
        <v>100.24</v>
      </c>
      <c r="E143" s="78">
        <v>90.09</v>
      </c>
      <c r="F143" s="78">
        <v>90.96</v>
      </c>
      <c r="G143" s="78">
        <v>1270.96</v>
      </c>
      <c r="H143" s="78">
        <v>-764.12</v>
      </c>
      <c r="I143" s="78">
        <v>-3.27</v>
      </c>
      <c r="J143" s="78">
        <v>195.92</v>
      </c>
      <c r="K143" s="78">
        <v>6737875.0700000003</v>
      </c>
      <c r="L143" s="78">
        <v>553948.88</v>
      </c>
      <c r="M143" s="78">
        <v>195.94</v>
      </c>
      <c r="N143" s="78">
        <v>90.96</v>
      </c>
      <c r="O143" s="78"/>
      <c r="P143" s="78">
        <v>0</v>
      </c>
      <c r="Q143" s="78">
        <v>0</v>
      </c>
      <c r="R143" s="78">
        <v>0</v>
      </c>
      <c r="S143" s="79"/>
    </row>
    <row r="144" spans="2:19" ht="12" customHeight="1" x14ac:dyDescent="0.25">
      <c r="B144" s="78">
        <v>1350</v>
      </c>
      <c r="C144" s="78">
        <v>50.94</v>
      </c>
      <c r="D144" s="78">
        <v>100.24</v>
      </c>
      <c r="E144" s="78">
        <v>90.09</v>
      </c>
      <c r="F144" s="78">
        <v>90.96</v>
      </c>
      <c r="G144" s="78">
        <v>1277.26</v>
      </c>
      <c r="H144" s="78">
        <v>-770.42</v>
      </c>
      <c r="I144" s="78">
        <v>-3.4</v>
      </c>
      <c r="J144" s="78">
        <v>203.68</v>
      </c>
      <c r="K144" s="78">
        <v>6737875.0499999998</v>
      </c>
      <c r="L144" s="78">
        <v>553956.65</v>
      </c>
      <c r="M144" s="78">
        <v>203.71</v>
      </c>
      <c r="N144" s="78">
        <v>90.96</v>
      </c>
      <c r="O144" s="78"/>
      <c r="P144" s="78">
        <v>0</v>
      </c>
      <c r="Q144" s="78">
        <v>0</v>
      </c>
      <c r="R144" s="78">
        <v>0</v>
      </c>
      <c r="S144" s="79"/>
    </row>
    <row r="145" spans="2:19" ht="12" customHeight="1" x14ac:dyDescent="0.25">
      <c r="B145" s="78">
        <v>1360</v>
      </c>
      <c r="C145" s="78">
        <v>50.94</v>
      </c>
      <c r="D145" s="78">
        <v>100.24</v>
      </c>
      <c r="E145" s="78">
        <v>90.09</v>
      </c>
      <c r="F145" s="78">
        <v>90.96</v>
      </c>
      <c r="G145" s="78">
        <v>1283.56</v>
      </c>
      <c r="H145" s="78">
        <v>-776.72</v>
      </c>
      <c r="I145" s="78">
        <v>-3.53</v>
      </c>
      <c r="J145" s="78">
        <v>211.45</v>
      </c>
      <c r="K145" s="78">
        <v>6737875.04</v>
      </c>
      <c r="L145" s="78">
        <v>553964.41</v>
      </c>
      <c r="M145" s="78">
        <v>211.47</v>
      </c>
      <c r="N145" s="78">
        <v>90.96</v>
      </c>
      <c r="O145" s="78"/>
      <c r="P145" s="78">
        <v>0</v>
      </c>
      <c r="Q145" s="78">
        <v>0</v>
      </c>
      <c r="R145" s="78">
        <v>0</v>
      </c>
      <c r="S145" s="79"/>
    </row>
    <row r="146" spans="2:19" ht="12" customHeight="1" x14ac:dyDescent="0.25">
      <c r="B146" s="78">
        <v>1362.24</v>
      </c>
      <c r="C146" s="78">
        <v>50.94</v>
      </c>
      <c r="D146" s="78">
        <v>100.24</v>
      </c>
      <c r="E146" s="78">
        <v>90.09</v>
      </c>
      <c r="F146" s="78">
        <v>90.96</v>
      </c>
      <c r="G146" s="78">
        <v>1284.97</v>
      </c>
      <c r="H146" s="78">
        <v>-778.13</v>
      </c>
      <c r="I146" s="78">
        <v>-3.56</v>
      </c>
      <c r="J146" s="78">
        <v>213.19</v>
      </c>
      <c r="K146" s="78">
        <v>6737875.04</v>
      </c>
      <c r="L146" s="78">
        <v>553966.15</v>
      </c>
      <c r="M146" s="78">
        <v>213.22</v>
      </c>
      <c r="N146" s="78">
        <v>90.96</v>
      </c>
      <c r="O146" s="78"/>
      <c r="P146" s="78">
        <v>0</v>
      </c>
      <c r="Q146" s="78">
        <v>0</v>
      </c>
      <c r="R146" s="78">
        <v>0</v>
      </c>
      <c r="S146" s="79" t="s">
        <v>43</v>
      </c>
    </row>
    <row r="147" spans="2:19" ht="12" customHeight="1" x14ac:dyDescent="0.25">
      <c r="B147" s="78">
        <v>1370</v>
      </c>
      <c r="C147" s="78">
        <v>50.94</v>
      </c>
      <c r="D147" s="78">
        <v>100.24</v>
      </c>
      <c r="E147" s="78">
        <v>90.09</v>
      </c>
      <c r="F147" s="78">
        <v>90.96</v>
      </c>
      <c r="G147" s="78">
        <v>1289.8599999999999</v>
      </c>
      <c r="H147" s="78">
        <v>-783.02</v>
      </c>
      <c r="I147" s="78">
        <v>-3.66</v>
      </c>
      <c r="J147" s="78">
        <v>219.21</v>
      </c>
      <c r="K147" s="78">
        <v>6737875.0300000003</v>
      </c>
      <c r="L147" s="78">
        <v>553972.18000000005</v>
      </c>
      <c r="M147" s="78">
        <v>219.24</v>
      </c>
      <c r="N147" s="78">
        <v>90.96</v>
      </c>
      <c r="O147" s="78"/>
      <c r="P147" s="78">
        <v>0</v>
      </c>
      <c r="Q147" s="78">
        <v>0</v>
      </c>
      <c r="R147" s="78">
        <v>0</v>
      </c>
      <c r="S147" s="79"/>
    </row>
    <row r="148" spans="2:19" ht="12" customHeight="1" x14ac:dyDescent="0.25">
      <c r="B148" s="78">
        <v>1380</v>
      </c>
      <c r="C148" s="78">
        <v>50.94</v>
      </c>
      <c r="D148" s="78">
        <v>100.24</v>
      </c>
      <c r="E148" s="78">
        <v>90.09</v>
      </c>
      <c r="F148" s="78">
        <v>90.96</v>
      </c>
      <c r="G148" s="78">
        <v>1296.1600000000001</v>
      </c>
      <c r="H148" s="78">
        <v>-789.32</v>
      </c>
      <c r="I148" s="78">
        <v>-3.79</v>
      </c>
      <c r="J148" s="78">
        <v>226.97</v>
      </c>
      <c r="K148" s="78">
        <v>6737875.0199999996</v>
      </c>
      <c r="L148" s="78">
        <v>553979.93999999994</v>
      </c>
      <c r="M148" s="78">
        <v>227</v>
      </c>
      <c r="N148" s="78">
        <v>90.96</v>
      </c>
      <c r="O148" s="78"/>
      <c r="P148" s="78">
        <v>0</v>
      </c>
      <c r="Q148" s="78">
        <v>0</v>
      </c>
      <c r="R148" s="78">
        <v>0</v>
      </c>
      <c r="S148" s="79"/>
    </row>
    <row r="149" spans="2:19" ht="12" customHeight="1" x14ac:dyDescent="0.25">
      <c r="B149" s="78">
        <v>1390</v>
      </c>
      <c r="C149" s="78">
        <v>50.94</v>
      </c>
      <c r="D149" s="78">
        <v>100.24</v>
      </c>
      <c r="E149" s="78">
        <v>90.09</v>
      </c>
      <c r="F149" s="78">
        <v>90.96</v>
      </c>
      <c r="G149" s="78">
        <v>1302.46</v>
      </c>
      <c r="H149" s="78">
        <v>-795.62</v>
      </c>
      <c r="I149" s="78">
        <v>-3.92</v>
      </c>
      <c r="J149" s="78">
        <v>234.74</v>
      </c>
      <c r="K149" s="78">
        <v>6737875</v>
      </c>
      <c r="L149" s="78">
        <v>553987.71</v>
      </c>
      <c r="M149" s="78">
        <v>234.77</v>
      </c>
      <c r="N149" s="78">
        <v>90.96</v>
      </c>
      <c r="O149" s="78"/>
      <c r="P149" s="78">
        <v>0</v>
      </c>
      <c r="Q149" s="78">
        <v>0</v>
      </c>
      <c r="R149" s="78">
        <v>0</v>
      </c>
      <c r="S149" s="79"/>
    </row>
    <row r="150" spans="2:19" ht="12" customHeight="1" x14ac:dyDescent="0.25">
      <c r="B150" s="78">
        <v>1400</v>
      </c>
      <c r="C150" s="78">
        <v>50.94</v>
      </c>
      <c r="D150" s="78">
        <v>100.24</v>
      </c>
      <c r="E150" s="78">
        <v>90.09</v>
      </c>
      <c r="F150" s="78">
        <v>90.96</v>
      </c>
      <c r="G150" s="78">
        <v>1308.76</v>
      </c>
      <c r="H150" s="78">
        <v>-801.92</v>
      </c>
      <c r="I150" s="78">
        <v>-4.04</v>
      </c>
      <c r="J150" s="78">
        <v>242.5</v>
      </c>
      <c r="K150" s="78">
        <v>6737874.9900000002</v>
      </c>
      <c r="L150" s="78">
        <v>553995.47</v>
      </c>
      <c r="M150" s="78">
        <v>242.54</v>
      </c>
      <c r="N150" s="78">
        <v>90.96</v>
      </c>
      <c r="O150" s="78"/>
      <c r="P150" s="78">
        <v>0</v>
      </c>
      <c r="Q150" s="78">
        <v>0</v>
      </c>
      <c r="R150" s="78">
        <v>0</v>
      </c>
      <c r="S150" s="79"/>
    </row>
    <row r="151" spans="2:19" ht="12" customHeight="1" x14ac:dyDescent="0.25">
      <c r="B151" s="78">
        <v>1410</v>
      </c>
      <c r="C151" s="78">
        <v>50.94</v>
      </c>
      <c r="D151" s="78">
        <v>100.24</v>
      </c>
      <c r="E151" s="78">
        <v>90.09</v>
      </c>
      <c r="F151" s="78">
        <v>90.96</v>
      </c>
      <c r="G151" s="78">
        <v>1315.06</v>
      </c>
      <c r="H151" s="78">
        <v>-808.22</v>
      </c>
      <c r="I151" s="78">
        <v>-4.17</v>
      </c>
      <c r="J151" s="78">
        <v>250.27</v>
      </c>
      <c r="K151" s="78">
        <v>6737874.9800000004</v>
      </c>
      <c r="L151" s="78">
        <v>554003.24</v>
      </c>
      <c r="M151" s="78">
        <v>250.3</v>
      </c>
      <c r="N151" s="78">
        <v>90.96</v>
      </c>
      <c r="O151" s="78"/>
      <c r="P151" s="78">
        <v>0</v>
      </c>
      <c r="Q151" s="78">
        <v>0</v>
      </c>
      <c r="R151" s="78">
        <v>0</v>
      </c>
      <c r="S151" s="79"/>
    </row>
    <row r="152" spans="2:19" ht="12" customHeight="1" x14ac:dyDescent="0.25">
      <c r="B152" s="78">
        <v>1420</v>
      </c>
      <c r="C152" s="78">
        <v>50.94</v>
      </c>
      <c r="D152" s="78">
        <v>100.24</v>
      </c>
      <c r="E152" s="78">
        <v>90.09</v>
      </c>
      <c r="F152" s="78">
        <v>90.96</v>
      </c>
      <c r="G152" s="78">
        <v>1321.36</v>
      </c>
      <c r="H152" s="78">
        <v>-814.52</v>
      </c>
      <c r="I152" s="78">
        <v>-4.3</v>
      </c>
      <c r="J152" s="78">
        <v>258.02999999999997</v>
      </c>
      <c r="K152" s="78">
        <v>6737874.96</v>
      </c>
      <c r="L152" s="78">
        <v>554011.01</v>
      </c>
      <c r="M152" s="78">
        <v>258.07</v>
      </c>
      <c r="N152" s="78">
        <v>90.96</v>
      </c>
      <c r="O152" s="78"/>
      <c r="P152" s="78">
        <v>0</v>
      </c>
      <c r="Q152" s="78">
        <v>0</v>
      </c>
      <c r="R152" s="78">
        <v>0</v>
      </c>
      <c r="S152" s="79"/>
    </row>
    <row r="153" spans="2:19" ht="12" customHeight="1" x14ac:dyDescent="0.25">
      <c r="B153" s="78">
        <v>1430</v>
      </c>
      <c r="C153" s="78">
        <v>50.94</v>
      </c>
      <c r="D153" s="78">
        <v>100.24</v>
      </c>
      <c r="E153" s="78">
        <v>90.09</v>
      </c>
      <c r="F153" s="78">
        <v>90.96</v>
      </c>
      <c r="G153" s="78">
        <v>1327.66</v>
      </c>
      <c r="H153" s="78">
        <v>-820.82</v>
      </c>
      <c r="I153" s="78">
        <v>-4.43</v>
      </c>
      <c r="J153" s="78">
        <v>265.79000000000002</v>
      </c>
      <c r="K153" s="78">
        <v>6737874.9500000002</v>
      </c>
      <c r="L153" s="78">
        <v>554018.77</v>
      </c>
      <c r="M153" s="78">
        <v>265.83</v>
      </c>
      <c r="N153" s="78">
        <v>90.96</v>
      </c>
      <c r="O153" s="78"/>
      <c r="P153" s="78">
        <v>0</v>
      </c>
      <c r="Q153" s="78">
        <v>0</v>
      </c>
      <c r="R153" s="78">
        <v>0</v>
      </c>
      <c r="S153" s="79"/>
    </row>
    <row r="154" spans="2:19" ht="12" customHeight="1" x14ac:dyDescent="0.25">
      <c r="B154" s="78">
        <v>1440</v>
      </c>
      <c r="C154" s="78">
        <v>50.94</v>
      </c>
      <c r="D154" s="78">
        <v>100.24</v>
      </c>
      <c r="E154" s="78">
        <v>90.09</v>
      </c>
      <c r="F154" s="78">
        <v>90.96</v>
      </c>
      <c r="G154" s="78">
        <v>1333.97</v>
      </c>
      <c r="H154" s="78">
        <v>-827.13</v>
      </c>
      <c r="I154" s="78">
        <v>-4.5599999999999996</v>
      </c>
      <c r="J154" s="78">
        <v>273.56</v>
      </c>
      <c r="K154" s="78">
        <v>6737874.9400000004</v>
      </c>
      <c r="L154" s="78">
        <v>554026.54</v>
      </c>
      <c r="M154" s="78">
        <v>273.60000000000002</v>
      </c>
      <c r="N154" s="78">
        <v>90.96</v>
      </c>
      <c r="O154" s="78"/>
      <c r="P154" s="78">
        <v>0</v>
      </c>
      <c r="Q154" s="78">
        <v>0</v>
      </c>
      <c r="R154" s="78">
        <v>0</v>
      </c>
      <c r="S154" s="79"/>
    </row>
    <row r="155" spans="2:19" ht="12" customHeight="1" x14ac:dyDescent="0.25">
      <c r="B155" s="80">
        <v>1450</v>
      </c>
      <c r="C155" s="80">
        <v>50.94</v>
      </c>
      <c r="D155" s="80">
        <v>100.24</v>
      </c>
      <c r="E155" s="80">
        <v>90.09</v>
      </c>
      <c r="F155" s="80">
        <v>90.96</v>
      </c>
      <c r="G155" s="80">
        <v>1340.27</v>
      </c>
      <c r="H155" s="80">
        <v>-833.43</v>
      </c>
      <c r="I155" s="80">
        <v>-4.6900000000000004</v>
      </c>
      <c r="J155" s="80">
        <v>281.32</v>
      </c>
      <c r="K155" s="80">
        <v>6737874.9299999997</v>
      </c>
      <c r="L155" s="80">
        <v>554034.30000000005</v>
      </c>
      <c r="M155" s="80">
        <v>281.36</v>
      </c>
      <c r="N155" s="80">
        <v>90.96</v>
      </c>
      <c r="O155" s="80"/>
      <c r="P155" s="80">
        <v>0</v>
      </c>
      <c r="Q155" s="80">
        <v>0</v>
      </c>
      <c r="R155" s="80">
        <v>0</v>
      </c>
      <c r="S155" s="81"/>
    </row>
    <row r="156" spans="2:19" ht="12" customHeight="1" x14ac:dyDescent="0.25">
      <c r="B156" s="78">
        <v>1460</v>
      </c>
      <c r="C156" s="78">
        <v>50.94</v>
      </c>
      <c r="D156" s="78">
        <v>100.24</v>
      </c>
      <c r="E156" s="78">
        <v>90.09</v>
      </c>
      <c r="F156" s="78">
        <v>90.96</v>
      </c>
      <c r="G156" s="78">
        <v>1346.57</v>
      </c>
      <c r="H156" s="78">
        <v>-839.73</v>
      </c>
      <c r="I156" s="78">
        <v>-4.82</v>
      </c>
      <c r="J156" s="78">
        <v>289.08999999999997</v>
      </c>
      <c r="K156" s="78">
        <v>6737874.9100000001</v>
      </c>
      <c r="L156" s="78">
        <v>554042.06999999995</v>
      </c>
      <c r="M156" s="78">
        <v>289.13</v>
      </c>
      <c r="N156" s="78">
        <v>90.96</v>
      </c>
      <c r="O156" s="78"/>
      <c r="P156" s="78">
        <v>0</v>
      </c>
      <c r="Q156" s="78">
        <v>0</v>
      </c>
      <c r="R156" s="78">
        <v>0</v>
      </c>
      <c r="S156" s="79"/>
    </row>
    <row r="157" spans="2:19" ht="12" customHeight="1" x14ac:dyDescent="0.25">
      <c r="B157" s="78">
        <v>1470</v>
      </c>
      <c r="C157" s="78">
        <v>50.94</v>
      </c>
      <c r="D157" s="78">
        <v>100.24</v>
      </c>
      <c r="E157" s="78">
        <v>90.09</v>
      </c>
      <c r="F157" s="78">
        <v>90.96</v>
      </c>
      <c r="G157" s="78">
        <v>1352.87</v>
      </c>
      <c r="H157" s="78">
        <v>-846.03</v>
      </c>
      <c r="I157" s="78">
        <v>-4.95</v>
      </c>
      <c r="J157" s="78">
        <v>296.85000000000002</v>
      </c>
      <c r="K157" s="78">
        <v>6737874.9000000004</v>
      </c>
      <c r="L157" s="78">
        <v>554049.82999999996</v>
      </c>
      <c r="M157" s="78">
        <v>296.89</v>
      </c>
      <c r="N157" s="78">
        <v>90.96</v>
      </c>
      <c r="O157" s="78"/>
      <c r="P157" s="78">
        <v>0</v>
      </c>
      <c r="Q157" s="78">
        <v>0</v>
      </c>
      <c r="R157" s="78">
        <v>0</v>
      </c>
      <c r="S157" s="79"/>
    </row>
    <row r="158" spans="2:19" ht="12" customHeight="1" x14ac:dyDescent="0.25">
      <c r="B158" s="78">
        <v>1480</v>
      </c>
      <c r="C158" s="78">
        <v>50.94</v>
      </c>
      <c r="D158" s="78">
        <v>100.24</v>
      </c>
      <c r="E158" s="78">
        <v>90.09</v>
      </c>
      <c r="F158" s="78">
        <v>90.96</v>
      </c>
      <c r="G158" s="78">
        <v>1359.17</v>
      </c>
      <c r="H158" s="78">
        <v>-852.33</v>
      </c>
      <c r="I158" s="78">
        <v>-5.08</v>
      </c>
      <c r="J158" s="78">
        <v>304.61</v>
      </c>
      <c r="K158" s="78">
        <v>6737874.8899999997</v>
      </c>
      <c r="L158" s="78">
        <v>554057.6</v>
      </c>
      <c r="M158" s="78">
        <v>304.66000000000003</v>
      </c>
      <c r="N158" s="78">
        <v>90.96</v>
      </c>
      <c r="O158" s="78"/>
      <c r="P158" s="78">
        <v>0</v>
      </c>
      <c r="Q158" s="78">
        <v>0</v>
      </c>
      <c r="R158" s="78">
        <v>0</v>
      </c>
      <c r="S158" s="79"/>
    </row>
    <row r="159" spans="2:19" ht="12" customHeight="1" x14ac:dyDescent="0.25">
      <c r="B159" s="78">
        <v>1490</v>
      </c>
      <c r="C159" s="78">
        <v>50.94</v>
      </c>
      <c r="D159" s="78">
        <v>100.24</v>
      </c>
      <c r="E159" s="78">
        <v>90.09</v>
      </c>
      <c r="F159" s="78">
        <v>90.96</v>
      </c>
      <c r="G159" s="78">
        <v>1365.47</v>
      </c>
      <c r="H159" s="78">
        <v>-858.63</v>
      </c>
      <c r="I159" s="78">
        <v>-5.21</v>
      </c>
      <c r="J159" s="78">
        <v>312.38</v>
      </c>
      <c r="K159" s="78">
        <v>6737874.8700000001</v>
      </c>
      <c r="L159" s="78">
        <v>554065.36</v>
      </c>
      <c r="M159" s="78">
        <v>312.42</v>
      </c>
      <c r="N159" s="78">
        <v>90.96</v>
      </c>
      <c r="O159" s="78"/>
      <c r="P159" s="78">
        <v>0</v>
      </c>
      <c r="Q159" s="78">
        <v>0</v>
      </c>
      <c r="R159" s="78">
        <v>0</v>
      </c>
      <c r="S159" s="79"/>
    </row>
    <row r="160" spans="2:19" ht="12" customHeight="1" x14ac:dyDescent="0.25">
      <c r="B160" s="78">
        <v>1500</v>
      </c>
      <c r="C160" s="78">
        <v>50.94</v>
      </c>
      <c r="D160" s="78">
        <v>100.24</v>
      </c>
      <c r="E160" s="78">
        <v>90.09</v>
      </c>
      <c r="F160" s="78">
        <v>90.96</v>
      </c>
      <c r="G160" s="78">
        <v>1371.77</v>
      </c>
      <c r="H160" s="78">
        <v>-864.93</v>
      </c>
      <c r="I160" s="78">
        <v>-5.34</v>
      </c>
      <c r="J160" s="78">
        <v>320.14</v>
      </c>
      <c r="K160" s="78">
        <v>6737874.8600000003</v>
      </c>
      <c r="L160" s="78">
        <v>554073.13</v>
      </c>
      <c r="M160" s="78">
        <v>320.19</v>
      </c>
      <c r="N160" s="78">
        <v>90.96</v>
      </c>
      <c r="O160" s="78"/>
      <c r="P160" s="78">
        <v>0</v>
      </c>
      <c r="Q160" s="78">
        <v>0</v>
      </c>
      <c r="R160" s="78">
        <v>0</v>
      </c>
      <c r="S160" s="79"/>
    </row>
    <row r="161" spans="2:19" ht="12" customHeight="1" x14ac:dyDescent="0.25">
      <c r="B161" s="78">
        <v>1510</v>
      </c>
      <c r="C161" s="78">
        <v>50.94</v>
      </c>
      <c r="D161" s="78">
        <v>100.24</v>
      </c>
      <c r="E161" s="78">
        <v>90.09</v>
      </c>
      <c r="F161" s="78">
        <v>90.96</v>
      </c>
      <c r="G161" s="78">
        <v>1378.07</v>
      </c>
      <c r="H161" s="78">
        <v>-871.23</v>
      </c>
      <c r="I161" s="78">
        <v>-5.47</v>
      </c>
      <c r="J161" s="78">
        <v>327.91</v>
      </c>
      <c r="K161" s="78">
        <v>6737874.8499999996</v>
      </c>
      <c r="L161" s="78">
        <v>554080.89</v>
      </c>
      <c r="M161" s="78">
        <v>327.95</v>
      </c>
      <c r="N161" s="78">
        <v>90.96</v>
      </c>
      <c r="O161" s="78"/>
      <c r="P161" s="78">
        <v>0</v>
      </c>
      <c r="Q161" s="78">
        <v>0</v>
      </c>
      <c r="R161" s="78">
        <v>0</v>
      </c>
      <c r="S161" s="79"/>
    </row>
    <row r="162" spans="2:19" ht="12" customHeight="1" x14ac:dyDescent="0.25">
      <c r="B162" s="78">
        <v>1520</v>
      </c>
      <c r="C162" s="78">
        <v>50.94</v>
      </c>
      <c r="D162" s="78">
        <v>100.24</v>
      </c>
      <c r="E162" s="78">
        <v>90.09</v>
      </c>
      <c r="F162" s="78">
        <v>90.96</v>
      </c>
      <c r="G162" s="78">
        <v>1384.37</v>
      </c>
      <c r="H162" s="78">
        <v>-877.53</v>
      </c>
      <c r="I162" s="78">
        <v>-5.6</v>
      </c>
      <c r="J162" s="78">
        <v>335.67</v>
      </c>
      <c r="K162" s="78">
        <v>6737874.8399999999</v>
      </c>
      <c r="L162" s="78">
        <v>554088.66</v>
      </c>
      <c r="M162" s="78">
        <v>335.72</v>
      </c>
      <c r="N162" s="78">
        <v>90.96</v>
      </c>
      <c r="O162" s="78"/>
      <c r="P162" s="78">
        <v>0</v>
      </c>
      <c r="Q162" s="78">
        <v>0</v>
      </c>
      <c r="R162" s="78">
        <v>0</v>
      </c>
      <c r="S162" s="79"/>
    </row>
    <row r="163" spans="2:19" ht="12" customHeight="1" x14ac:dyDescent="0.25">
      <c r="B163" s="78">
        <v>1530</v>
      </c>
      <c r="C163" s="78">
        <v>50.94</v>
      </c>
      <c r="D163" s="78">
        <v>100.24</v>
      </c>
      <c r="E163" s="78">
        <v>90.09</v>
      </c>
      <c r="F163" s="78">
        <v>90.96</v>
      </c>
      <c r="G163" s="78">
        <v>1390.67</v>
      </c>
      <c r="H163" s="78">
        <v>-883.83</v>
      </c>
      <c r="I163" s="78">
        <v>-5.73</v>
      </c>
      <c r="J163" s="78">
        <v>343.43</v>
      </c>
      <c r="K163" s="78">
        <v>6737874.8200000003</v>
      </c>
      <c r="L163" s="78">
        <v>554096.42000000004</v>
      </c>
      <c r="M163" s="78">
        <v>343.48</v>
      </c>
      <c r="N163" s="78">
        <v>90.96</v>
      </c>
      <c r="O163" s="78"/>
      <c r="P163" s="78">
        <v>0</v>
      </c>
      <c r="Q163" s="78">
        <v>0</v>
      </c>
      <c r="R163" s="78">
        <v>0</v>
      </c>
      <c r="S163" s="79"/>
    </row>
    <row r="164" spans="2:19" ht="12" customHeight="1" x14ac:dyDescent="0.25">
      <c r="B164" s="78">
        <v>1540</v>
      </c>
      <c r="C164" s="78">
        <v>50.94</v>
      </c>
      <c r="D164" s="78">
        <v>100.24</v>
      </c>
      <c r="E164" s="78">
        <v>90.09</v>
      </c>
      <c r="F164" s="78">
        <v>90.96</v>
      </c>
      <c r="G164" s="78">
        <v>1396.98</v>
      </c>
      <c r="H164" s="78">
        <v>-890.14</v>
      </c>
      <c r="I164" s="78">
        <v>-5.86</v>
      </c>
      <c r="J164" s="78">
        <v>351.2</v>
      </c>
      <c r="K164" s="78">
        <v>6737874.8099999996</v>
      </c>
      <c r="L164" s="78">
        <v>554104.18999999994</v>
      </c>
      <c r="M164" s="78">
        <v>351.25</v>
      </c>
      <c r="N164" s="78">
        <v>90.96</v>
      </c>
      <c r="O164" s="78"/>
      <c r="P164" s="78">
        <v>0</v>
      </c>
      <c r="Q164" s="78">
        <v>0</v>
      </c>
      <c r="R164" s="78">
        <v>0</v>
      </c>
      <c r="S164" s="79"/>
    </row>
    <row r="165" spans="2:19" ht="12" customHeight="1" x14ac:dyDescent="0.25">
      <c r="B165" s="78">
        <v>1550</v>
      </c>
      <c r="C165" s="78">
        <v>50.94</v>
      </c>
      <c r="D165" s="78">
        <v>100.24</v>
      </c>
      <c r="E165" s="78">
        <v>90.09</v>
      </c>
      <c r="F165" s="78">
        <v>90.96</v>
      </c>
      <c r="G165" s="78">
        <v>1403.28</v>
      </c>
      <c r="H165" s="78">
        <v>-896.44</v>
      </c>
      <c r="I165" s="78">
        <v>-5.99</v>
      </c>
      <c r="J165" s="78">
        <v>358.96</v>
      </c>
      <c r="K165" s="78">
        <v>6737874.7999999998</v>
      </c>
      <c r="L165" s="78">
        <v>554111.94999999995</v>
      </c>
      <c r="M165" s="78">
        <v>359.01</v>
      </c>
      <c r="N165" s="78">
        <v>90.96</v>
      </c>
      <c r="O165" s="78"/>
      <c r="P165" s="78">
        <v>0</v>
      </c>
      <c r="Q165" s="78">
        <v>0</v>
      </c>
      <c r="R165" s="78">
        <v>0</v>
      </c>
      <c r="S165" s="79"/>
    </row>
    <row r="166" spans="2:19" ht="12" customHeight="1" x14ac:dyDescent="0.25">
      <c r="B166" s="78">
        <v>1560</v>
      </c>
      <c r="C166" s="78">
        <v>50.94</v>
      </c>
      <c r="D166" s="78">
        <v>100.24</v>
      </c>
      <c r="E166" s="78">
        <v>90.09</v>
      </c>
      <c r="F166" s="78">
        <v>90.96</v>
      </c>
      <c r="G166" s="78">
        <v>1409.58</v>
      </c>
      <c r="H166" s="78">
        <v>-902.74</v>
      </c>
      <c r="I166" s="78">
        <v>-6.12</v>
      </c>
      <c r="J166" s="78">
        <v>366.73</v>
      </c>
      <c r="K166" s="78">
        <v>6737874.7800000003</v>
      </c>
      <c r="L166" s="78">
        <v>554119.72</v>
      </c>
      <c r="M166" s="78">
        <v>366.78</v>
      </c>
      <c r="N166" s="78">
        <v>90.96</v>
      </c>
      <c r="O166" s="78"/>
      <c r="P166" s="78">
        <v>0</v>
      </c>
      <c r="Q166" s="78">
        <v>0</v>
      </c>
      <c r="R166" s="78">
        <v>0</v>
      </c>
      <c r="S166" s="79"/>
    </row>
    <row r="167" spans="2:19" ht="12" customHeight="1" x14ac:dyDescent="0.25">
      <c r="B167" s="78">
        <v>1570</v>
      </c>
      <c r="C167" s="78">
        <v>50.94</v>
      </c>
      <c r="D167" s="78">
        <v>100.24</v>
      </c>
      <c r="E167" s="78">
        <v>90.09</v>
      </c>
      <c r="F167" s="78">
        <v>90.96</v>
      </c>
      <c r="G167" s="78">
        <v>1415.88</v>
      </c>
      <c r="H167" s="78">
        <v>-909.04</v>
      </c>
      <c r="I167" s="78">
        <v>-6.25</v>
      </c>
      <c r="J167" s="78">
        <v>374.49</v>
      </c>
      <c r="K167" s="78">
        <v>6737874.7699999996</v>
      </c>
      <c r="L167" s="78">
        <v>554127.48</v>
      </c>
      <c r="M167" s="78">
        <v>374.54</v>
      </c>
      <c r="N167" s="78">
        <v>90.96</v>
      </c>
      <c r="O167" s="78"/>
      <c r="P167" s="78">
        <v>0</v>
      </c>
      <c r="Q167" s="78">
        <v>0</v>
      </c>
      <c r="R167" s="78">
        <v>0</v>
      </c>
      <c r="S167" s="79"/>
    </row>
    <row r="168" spans="2:19" ht="12" customHeight="1" x14ac:dyDescent="0.25">
      <c r="B168" s="78">
        <v>1580</v>
      </c>
      <c r="C168" s="78">
        <v>50.94</v>
      </c>
      <c r="D168" s="78">
        <v>100.24</v>
      </c>
      <c r="E168" s="78">
        <v>90.09</v>
      </c>
      <c r="F168" s="78">
        <v>90.96</v>
      </c>
      <c r="G168" s="78">
        <v>1422.18</v>
      </c>
      <c r="H168" s="78">
        <v>-915.34</v>
      </c>
      <c r="I168" s="78">
        <v>-6.38</v>
      </c>
      <c r="J168" s="78">
        <v>382.25</v>
      </c>
      <c r="K168" s="78">
        <v>6737874.7599999998</v>
      </c>
      <c r="L168" s="78">
        <v>554135.25</v>
      </c>
      <c r="M168" s="78">
        <v>382.31</v>
      </c>
      <c r="N168" s="78">
        <v>90.96</v>
      </c>
      <c r="O168" s="78"/>
      <c r="P168" s="78">
        <v>0</v>
      </c>
      <c r="Q168" s="78">
        <v>0</v>
      </c>
      <c r="R168" s="78">
        <v>0</v>
      </c>
      <c r="S168" s="79"/>
    </row>
    <row r="169" spans="2:19" ht="12" customHeight="1" x14ac:dyDescent="0.25">
      <c r="B169" s="78">
        <v>1590</v>
      </c>
      <c r="C169" s="78">
        <v>50.94</v>
      </c>
      <c r="D169" s="78">
        <v>100.24</v>
      </c>
      <c r="E169" s="78">
        <v>90.09</v>
      </c>
      <c r="F169" s="78">
        <v>90.96</v>
      </c>
      <c r="G169" s="78">
        <v>1428.48</v>
      </c>
      <c r="H169" s="78">
        <v>-921.64</v>
      </c>
      <c r="I169" s="78">
        <v>-6.51</v>
      </c>
      <c r="J169" s="78">
        <v>390.02</v>
      </c>
      <c r="K169" s="78">
        <v>6737874.75</v>
      </c>
      <c r="L169" s="78">
        <v>554143.01</v>
      </c>
      <c r="M169" s="78">
        <v>390.07</v>
      </c>
      <c r="N169" s="78">
        <v>90.96</v>
      </c>
      <c r="O169" s="78"/>
      <c r="P169" s="78">
        <v>0</v>
      </c>
      <c r="Q169" s="78">
        <v>0</v>
      </c>
      <c r="R169" s="78">
        <v>0</v>
      </c>
      <c r="S169" s="79"/>
    </row>
    <row r="170" spans="2:19" ht="12" customHeight="1" x14ac:dyDescent="0.25">
      <c r="B170" s="78">
        <v>1600</v>
      </c>
      <c r="C170" s="78">
        <v>50.94</v>
      </c>
      <c r="D170" s="78">
        <v>100.24</v>
      </c>
      <c r="E170" s="78">
        <v>90.09</v>
      </c>
      <c r="F170" s="78">
        <v>90.96</v>
      </c>
      <c r="G170" s="78">
        <v>1434.78</v>
      </c>
      <c r="H170" s="78">
        <v>-927.94</v>
      </c>
      <c r="I170" s="78">
        <v>-6.63</v>
      </c>
      <c r="J170" s="78">
        <v>397.78</v>
      </c>
      <c r="K170" s="78">
        <v>6737874.7300000004</v>
      </c>
      <c r="L170" s="78">
        <v>554150.78</v>
      </c>
      <c r="M170" s="78">
        <v>397.84</v>
      </c>
      <c r="N170" s="78">
        <v>90.96</v>
      </c>
      <c r="O170" s="78"/>
      <c r="P170" s="78">
        <v>0</v>
      </c>
      <c r="Q170" s="78">
        <v>0</v>
      </c>
      <c r="R170" s="78">
        <v>0</v>
      </c>
      <c r="S170" s="79"/>
    </row>
    <row r="171" spans="2:19" ht="12" customHeight="1" x14ac:dyDescent="0.25">
      <c r="B171" s="78">
        <v>1610</v>
      </c>
      <c r="C171" s="78">
        <v>50.94</v>
      </c>
      <c r="D171" s="78">
        <v>100.24</v>
      </c>
      <c r="E171" s="78">
        <v>90.09</v>
      </c>
      <c r="F171" s="78">
        <v>90.96</v>
      </c>
      <c r="G171" s="78">
        <v>1441.08</v>
      </c>
      <c r="H171" s="78">
        <v>-934.24</v>
      </c>
      <c r="I171" s="78">
        <v>-6.76</v>
      </c>
      <c r="J171" s="78">
        <v>405.55</v>
      </c>
      <c r="K171" s="78">
        <v>6737874.7199999997</v>
      </c>
      <c r="L171" s="78">
        <v>554158.54</v>
      </c>
      <c r="M171" s="78">
        <v>405.6</v>
      </c>
      <c r="N171" s="78">
        <v>90.96</v>
      </c>
      <c r="O171" s="78"/>
      <c r="P171" s="78">
        <v>0</v>
      </c>
      <c r="Q171" s="78">
        <v>0</v>
      </c>
      <c r="R171" s="78">
        <v>0</v>
      </c>
      <c r="S171" s="79"/>
    </row>
    <row r="172" spans="2:19" ht="12" customHeight="1" x14ac:dyDescent="0.25">
      <c r="B172" s="78">
        <v>1620</v>
      </c>
      <c r="C172" s="78">
        <v>50.94</v>
      </c>
      <c r="D172" s="78">
        <v>100.24</v>
      </c>
      <c r="E172" s="78">
        <v>90.09</v>
      </c>
      <c r="F172" s="78">
        <v>90.96</v>
      </c>
      <c r="G172" s="78">
        <v>1447.38</v>
      </c>
      <c r="H172" s="78">
        <v>-940.54</v>
      </c>
      <c r="I172" s="78">
        <v>-6.89</v>
      </c>
      <c r="J172" s="78">
        <v>413.31</v>
      </c>
      <c r="K172" s="78">
        <v>6737874.71</v>
      </c>
      <c r="L172" s="78">
        <v>554166.31000000006</v>
      </c>
      <c r="M172" s="78">
        <v>413.37</v>
      </c>
      <c r="N172" s="78">
        <v>90.96</v>
      </c>
      <c r="O172" s="78"/>
      <c r="P172" s="78">
        <v>0</v>
      </c>
      <c r="Q172" s="78">
        <v>0</v>
      </c>
      <c r="R172" s="78">
        <v>0</v>
      </c>
      <c r="S172" s="79"/>
    </row>
    <row r="173" spans="2:19" ht="12" customHeight="1" x14ac:dyDescent="0.25">
      <c r="B173" s="82">
        <v>1630</v>
      </c>
      <c r="C173" s="82">
        <v>50.94</v>
      </c>
      <c r="D173" s="82">
        <v>100.24</v>
      </c>
      <c r="E173" s="82">
        <v>90.09</v>
      </c>
      <c r="F173" s="82">
        <v>90.96</v>
      </c>
      <c r="G173" s="82">
        <v>1453.68</v>
      </c>
      <c r="H173" s="82">
        <v>-946.84</v>
      </c>
      <c r="I173" s="82">
        <v>-7.02</v>
      </c>
      <c r="J173" s="82">
        <v>421.08</v>
      </c>
      <c r="K173" s="82">
        <v>6737874.6900000004</v>
      </c>
      <c r="L173" s="82">
        <v>554174.06999999995</v>
      </c>
      <c r="M173" s="82">
        <v>421.13</v>
      </c>
      <c r="N173" s="82">
        <v>90.96</v>
      </c>
      <c r="O173" s="82"/>
      <c r="P173" s="82">
        <v>0</v>
      </c>
      <c r="Q173" s="82">
        <v>0</v>
      </c>
      <c r="R173" s="82">
        <v>0</v>
      </c>
      <c r="S173" s="83"/>
    </row>
    <row r="174" spans="2:19" ht="12" customHeight="1" x14ac:dyDescent="0.25">
      <c r="B174" s="78">
        <v>1640</v>
      </c>
      <c r="C174" s="78">
        <v>50.94</v>
      </c>
      <c r="D174" s="78">
        <v>100.24</v>
      </c>
      <c r="E174" s="78">
        <v>90.09</v>
      </c>
      <c r="F174" s="78">
        <v>90.96</v>
      </c>
      <c r="G174" s="78">
        <v>1459.98</v>
      </c>
      <c r="H174" s="78">
        <v>-953.14</v>
      </c>
      <c r="I174" s="78">
        <v>-7.15</v>
      </c>
      <c r="J174" s="78">
        <v>428.84</v>
      </c>
      <c r="K174" s="78">
        <v>6737874.6799999997</v>
      </c>
      <c r="L174" s="78">
        <v>554181.84</v>
      </c>
      <c r="M174" s="78">
        <v>428.9</v>
      </c>
      <c r="N174" s="78">
        <v>90.96</v>
      </c>
      <c r="O174" s="78"/>
      <c r="P174" s="78">
        <v>0</v>
      </c>
      <c r="Q174" s="78">
        <v>0</v>
      </c>
      <c r="R174" s="78">
        <v>0</v>
      </c>
      <c r="S174" s="79"/>
    </row>
    <row r="175" spans="2:19" ht="12" customHeight="1" x14ac:dyDescent="0.25">
      <c r="B175" s="78">
        <v>1650</v>
      </c>
      <c r="C175" s="78">
        <v>50.94</v>
      </c>
      <c r="D175" s="78">
        <v>100.24</v>
      </c>
      <c r="E175" s="78">
        <v>90.09</v>
      </c>
      <c r="F175" s="78">
        <v>90.96</v>
      </c>
      <c r="G175" s="78">
        <v>1466.29</v>
      </c>
      <c r="H175" s="78">
        <v>-959.45</v>
      </c>
      <c r="I175" s="78">
        <v>-7.28</v>
      </c>
      <c r="J175" s="78">
        <v>436.6</v>
      </c>
      <c r="K175" s="78">
        <v>6737874.6699999999</v>
      </c>
      <c r="L175" s="78">
        <v>554189.6</v>
      </c>
      <c r="M175" s="78">
        <v>436.66</v>
      </c>
      <c r="N175" s="78">
        <v>90.96</v>
      </c>
      <c r="O175" s="78"/>
      <c r="P175" s="78">
        <v>0</v>
      </c>
      <c r="Q175" s="78">
        <v>0</v>
      </c>
      <c r="R175" s="78">
        <v>0</v>
      </c>
      <c r="S175" s="79"/>
    </row>
    <row r="176" spans="2:19" ht="12" customHeight="1" x14ac:dyDescent="0.25">
      <c r="B176" s="78">
        <v>1660</v>
      </c>
      <c r="C176" s="78">
        <v>50.94</v>
      </c>
      <c r="D176" s="78">
        <v>100.24</v>
      </c>
      <c r="E176" s="78">
        <v>90.09</v>
      </c>
      <c r="F176" s="78">
        <v>90.96</v>
      </c>
      <c r="G176" s="78">
        <v>1472.59</v>
      </c>
      <c r="H176" s="78">
        <v>-965.75</v>
      </c>
      <c r="I176" s="78">
        <v>-7.41</v>
      </c>
      <c r="J176" s="78">
        <v>444.37</v>
      </c>
      <c r="K176" s="78">
        <v>6737874.6600000001</v>
      </c>
      <c r="L176" s="78">
        <v>554197.37</v>
      </c>
      <c r="M176" s="78">
        <v>444.43</v>
      </c>
      <c r="N176" s="78">
        <v>90.96</v>
      </c>
      <c r="O176" s="78"/>
      <c r="P176" s="78">
        <v>0</v>
      </c>
      <c r="Q176" s="78">
        <v>0</v>
      </c>
      <c r="R176" s="78">
        <v>0</v>
      </c>
      <c r="S176" s="79"/>
    </row>
    <row r="177" spans="2:19" ht="82.5" customHeight="1" x14ac:dyDescent="0.25">
      <c r="B177" s="78">
        <v>1670</v>
      </c>
      <c r="C177" s="78">
        <v>50.94</v>
      </c>
      <c r="D177" s="78">
        <v>100.24</v>
      </c>
      <c r="E177" s="78">
        <v>90.09</v>
      </c>
      <c r="F177" s="78">
        <v>90.96</v>
      </c>
      <c r="G177" s="78">
        <v>1478.89</v>
      </c>
      <c r="H177" s="78">
        <v>-972.05</v>
      </c>
      <c r="I177" s="78">
        <v>-7.54</v>
      </c>
      <c r="J177" s="78">
        <v>452.13</v>
      </c>
      <c r="K177" s="78">
        <v>6737874.6399999997</v>
      </c>
      <c r="L177" s="78">
        <v>554205.13</v>
      </c>
      <c r="M177" s="78">
        <v>452.19</v>
      </c>
      <c r="N177" s="78">
        <v>90.96</v>
      </c>
      <c r="O177" s="78"/>
      <c r="P177" s="78">
        <v>0</v>
      </c>
      <c r="Q177" s="78">
        <v>0</v>
      </c>
      <c r="R177" s="78">
        <v>0</v>
      </c>
      <c r="S177" s="79"/>
    </row>
    <row r="178" spans="2:19" ht="12" customHeight="1" x14ac:dyDescent="0.25">
      <c r="B178" s="78">
        <v>1680</v>
      </c>
      <c r="C178" s="78">
        <v>50.94</v>
      </c>
      <c r="D178" s="78">
        <v>100.24</v>
      </c>
      <c r="E178" s="78">
        <v>90.09</v>
      </c>
      <c r="F178" s="78">
        <v>90.96</v>
      </c>
      <c r="G178" s="78">
        <v>1485.19</v>
      </c>
      <c r="H178" s="78">
        <v>-978.35</v>
      </c>
      <c r="I178" s="78">
        <v>-7.67</v>
      </c>
      <c r="J178" s="78">
        <v>459.9</v>
      </c>
      <c r="K178" s="78">
        <v>6737874.6299999999</v>
      </c>
      <c r="L178" s="78">
        <v>554212.9</v>
      </c>
      <c r="M178" s="78">
        <v>459.96</v>
      </c>
      <c r="N178" s="78">
        <v>90.96</v>
      </c>
      <c r="O178" s="78"/>
      <c r="P178" s="78">
        <v>0</v>
      </c>
      <c r="Q178" s="78">
        <v>0</v>
      </c>
      <c r="R178" s="78">
        <v>0</v>
      </c>
      <c r="S178" s="79"/>
    </row>
    <row r="179" spans="2:19" ht="12" customHeight="1" x14ac:dyDescent="0.25">
      <c r="B179" s="78">
        <v>1690</v>
      </c>
      <c r="C179" s="78">
        <v>50.94</v>
      </c>
      <c r="D179" s="78">
        <v>100.24</v>
      </c>
      <c r="E179" s="78">
        <v>90.09</v>
      </c>
      <c r="F179" s="78">
        <v>90.96</v>
      </c>
      <c r="G179" s="78">
        <v>1491.49</v>
      </c>
      <c r="H179" s="78">
        <v>-984.65</v>
      </c>
      <c r="I179" s="78">
        <v>-7.8</v>
      </c>
      <c r="J179" s="78">
        <v>467.66</v>
      </c>
      <c r="K179" s="78">
        <v>6737874.6200000001</v>
      </c>
      <c r="L179" s="78">
        <v>554220.66</v>
      </c>
      <c r="M179" s="78">
        <v>467.72</v>
      </c>
      <c r="N179" s="78">
        <v>90.96</v>
      </c>
      <c r="O179" s="78"/>
      <c r="P179" s="78">
        <v>0</v>
      </c>
      <c r="Q179" s="78">
        <v>0</v>
      </c>
      <c r="R179" s="78">
        <v>0</v>
      </c>
      <c r="S179" s="79"/>
    </row>
    <row r="180" spans="2:19" ht="12" customHeight="1" x14ac:dyDescent="0.25">
      <c r="B180" s="78">
        <v>1700</v>
      </c>
      <c r="C180" s="78">
        <v>50.94</v>
      </c>
      <c r="D180" s="78">
        <v>100.24</v>
      </c>
      <c r="E180" s="78">
        <v>90.09</v>
      </c>
      <c r="F180" s="78">
        <v>90.96</v>
      </c>
      <c r="G180" s="78">
        <v>1497.79</v>
      </c>
      <c r="H180" s="78">
        <v>-990.95</v>
      </c>
      <c r="I180" s="78">
        <v>-7.93</v>
      </c>
      <c r="J180" s="78">
        <v>475.42</v>
      </c>
      <c r="K180" s="78">
        <v>6737874.5999999996</v>
      </c>
      <c r="L180" s="78">
        <v>554228.43000000005</v>
      </c>
      <c r="M180" s="78">
        <v>475.49</v>
      </c>
      <c r="N180" s="78">
        <v>90.96</v>
      </c>
      <c r="O180" s="78"/>
      <c r="P180" s="78">
        <v>0</v>
      </c>
      <c r="Q180" s="78">
        <v>0</v>
      </c>
      <c r="R180" s="78">
        <v>0</v>
      </c>
      <c r="S180" s="79"/>
    </row>
    <row r="181" spans="2:19" ht="12" customHeight="1" x14ac:dyDescent="0.25">
      <c r="B181" s="78">
        <v>1710</v>
      </c>
      <c r="C181" s="78">
        <v>50.94</v>
      </c>
      <c r="D181" s="78">
        <v>100.24</v>
      </c>
      <c r="E181" s="78">
        <v>90.09</v>
      </c>
      <c r="F181" s="78">
        <v>90.96</v>
      </c>
      <c r="G181" s="78">
        <v>1504.09</v>
      </c>
      <c r="H181" s="78">
        <v>-997.25</v>
      </c>
      <c r="I181" s="78">
        <v>-8.06</v>
      </c>
      <c r="J181" s="78">
        <v>483.19</v>
      </c>
      <c r="K181" s="78">
        <v>6737874.5899999999</v>
      </c>
      <c r="L181" s="78">
        <v>554236.18999999994</v>
      </c>
      <c r="M181" s="78">
        <v>483.25</v>
      </c>
      <c r="N181" s="78">
        <v>90.96</v>
      </c>
      <c r="O181" s="78"/>
      <c r="P181" s="78">
        <v>0</v>
      </c>
      <c r="Q181" s="78">
        <v>0</v>
      </c>
      <c r="R181" s="78">
        <v>0</v>
      </c>
      <c r="S181" s="79"/>
    </row>
    <row r="182" spans="2:19" ht="12" customHeight="1" x14ac:dyDescent="0.25">
      <c r="B182" s="78">
        <v>1720</v>
      </c>
      <c r="C182" s="78">
        <v>50.94</v>
      </c>
      <c r="D182" s="78">
        <v>100.24</v>
      </c>
      <c r="E182" s="78">
        <v>90.09</v>
      </c>
      <c r="F182" s="78">
        <v>90.96</v>
      </c>
      <c r="G182" s="78">
        <v>1510.39</v>
      </c>
      <c r="H182" s="78">
        <v>-1003.55</v>
      </c>
      <c r="I182" s="78">
        <v>-8.19</v>
      </c>
      <c r="J182" s="78">
        <v>490.95</v>
      </c>
      <c r="K182" s="78">
        <v>6737874.5800000001</v>
      </c>
      <c r="L182" s="78">
        <v>554243.96</v>
      </c>
      <c r="M182" s="78">
        <v>491.02</v>
      </c>
      <c r="N182" s="78">
        <v>90.96</v>
      </c>
      <c r="O182" s="78"/>
      <c r="P182" s="78">
        <v>0</v>
      </c>
      <c r="Q182" s="78">
        <v>0</v>
      </c>
      <c r="R182" s="78">
        <v>0</v>
      </c>
      <c r="S182" s="79"/>
    </row>
    <row r="183" spans="2:19" ht="12" customHeight="1" x14ac:dyDescent="0.25">
      <c r="B183" s="82">
        <v>1730</v>
      </c>
      <c r="C183" s="82">
        <v>50.94</v>
      </c>
      <c r="D183" s="82">
        <v>100.24</v>
      </c>
      <c r="E183" s="82">
        <v>90.09</v>
      </c>
      <c r="F183" s="82">
        <v>90.96</v>
      </c>
      <c r="G183" s="82">
        <v>1516.69</v>
      </c>
      <c r="H183" s="82">
        <v>-1009.85</v>
      </c>
      <c r="I183" s="82">
        <v>-8.32</v>
      </c>
      <c r="J183" s="82">
        <v>498.72</v>
      </c>
      <c r="K183" s="82">
        <v>6737874.5700000003</v>
      </c>
      <c r="L183" s="82">
        <v>554251.72</v>
      </c>
      <c r="M183" s="82">
        <v>498.79</v>
      </c>
      <c r="N183" s="82">
        <v>90.96</v>
      </c>
      <c r="O183" s="82"/>
      <c r="P183" s="82">
        <v>0</v>
      </c>
      <c r="Q183" s="82">
        <v>0</v>
      </c>
      <c r="R183" s="82">
        <v>0</v>
      </c>
      <c r="S183" s="83"/>
    </row>
    <row r="184" spans="2:19" ht="12" customHeight="1" x14ac:dyDescent="0.25">
      <c r="B184" s="78">
        <v>1740</v>
      </c>
      <c r="C184" s="78">
        <v>50.94</v>
      </c>
      <c r="D184" s="78">
        <v>100.24</v>
      </c>
      <c r="E184" s="78">
        <v>90.09</v>
      </c>
      <c r="F184" s="78">
        <v>90.96</v>
      </c>
      <c r="G184" s="78">
        <v>1522.99</v>
      </c>
      <c r="H184" s="78">
        <v>-1016.15</v>
      </c>
      <c r="I184" s="78">
        <v>-8.4499999999999993</v>
      </c>
      <c r="J184" s="78">
        <v>506.48</v>
      </c>
      <c r="K184" s="78">
        <v>6737874.5499999998</v>
      </c>
      <c r="L184" s="78">
        <v>554259.49</v>
      </c>
      <c r="M184" s="78">
        <v>506.55</v>
      </c>
      <c r="N184" s="78">
        <v>90.96</v>
      </c>
      <c r="O184" s="78"/>
      <c r="P184" s="78">
        <v>0</v>
      </c>
      <c r="Q184" s="78">
        <v>0</v>
      </c>
      <c r="R184" s="78">
        <v>0</v>
      </c>
      <c r="S184" s="79"/>
    </row>
    <row r="185" spans="2:19" ht="12" customHeight="1" x14ac:dyDescent="0.25">
      <c r="B185" s="78">
        <v>1750</v>
      </c>
      <c r="C185" s="78">
        <v>50.94</v>
      </c>
      <c r="D185" s="78">
        <v>100.24</v>
      </c>
      <c r="E185" s="78">
        <v>90.09</v>
      </c>
      <c r="F185" s="78">
        <v>90.96</v>
      </c>
      <c r="G185" s="78">
        <v>1529.3</v>
      </c>
      <c r="H185" s="78">
        <v>-1022.46</v>
      </c>
      <c r="I185" s="78">
        <v>-8.58</v>
      </c>
      <c r="J185" s="78">
        <v>514.24</v>
      </c>
      <c r="K185" s="78">
        <v>6737874.54</v>
      </c>
      <c r="L185" s="78">
        <v>554267.25</v>
      </c>
      <c r="M185" s="78">
        <v>514.32000000000005</v>
      </c>
      <c r="N185" s="78">
        <v>90.96</v>
      </c>
      <c r="O185" s="78"/>
      <c r="P185" s="78">
        <v>0</v>
      </c>
      <c r="Q185" s="78">
        <v>0</v>
      </c>
      <c r="R185" s="78">
        <v>0</v>
      </c>
      <c r="S185" s="79"/>
    </row>
    <row r="186" spans="2:19" ht="12" customHeight="1" x14ac:dyDescent="0.25">
      <c r="B186" s="80">
        <v>1760</v>
      </c>
      <c r="C186" s="80">
        <v>50.94</v>
      </c>
      <c r="D186" s="80">
        <v>100.24</v>
      </c>
      <c r="E186" s="80">
        <v>90.09</v>
      </c>
      <c r="F186" s="80">
        <v>90.96</v>
      </c>
      <c r="G186" s="80">
        <v>1535.6</v>
      </c>
      <c r="H186" s="80">
        <v>-1028.76</v>
      </c>
      <c r="I186" s="80">
        <v>-8.7100000000000009</v>
      </c>
      <c r="J186" s="80">
        <v>522.01</v>
      </c>
      <c r="K186" s="80">
        <v>6737874.5300000003</v>
      </c>
      <c r="L186" s="80">
        <v>554275.02</v>
      </c>
      <c r="M186" s="80">
        <v>522.08000000000004</v>
      </c>
      <c r="N186" s="80">
        <v>90.96</v>
      </c>
      <c r="O186" s="80"/>
      <c r="P186" s="80">
        <v>0</v>
      </c>
      <c r="Q186" s="80">
        <v>0</v>
      </c>
      <c r="R186" s="80">
        <v>0</v>
      </c>
      <c r="S186" s="81"/>
    </row>
    <row r="187" spans="2:19" ht="12" customHeight="1" x14ac:dyDescent="0.25">
      <c r="B187" s="78">
        <v>1770</v>
      </c>
      <c r="C187" s="78">
        <v>50.94</v>
      </c>
      <c r="D187" s="78">
        <v>100.24</v>
      </c>
      <c r="E187" s="78">
        <v>90.09</v>
      </c>
      <c r="F187" s="78">
        <v>90.96</v>
      </c>
      <c r="G187" s="78">
        <v>1541.9</v>
      </c>
      <c r="H187" s="78">
        <v>-1035.06</v>
      </c>
      <c r="I187" s="78">
        <v>-8.84</v>
      </c>
      <c r="J187" s="78">
        <v>529.77</v>
      </c>
      <c r="K187" s="78">
        <v>6737874.5199999996</v>
      </c>
      <c r="L187" s="78">
        <v>554282.79</v>
      </c>
      <c r="M187" s="78">
        <v>529.85</v>
      </c>
      <c r="N187" s="78">
        <v>90.96</v>
      </c>
      <c r="O187" s="78"/>
      <c r="P187" s="78">
        <v>0</v>
      </c>
      <c r="Q187" s="78">
        <v>0</v>
      </c>
      <c r="R187" s="78">
        <v>0</v>
      </c>
      <c r="S187" s="79"/>
    </row>
    <row r="188" spans="2:19" ht="12" customHeight="1" x14ac:dyDescent="0.25">
      <c r="B188" s="78">
        <v>1772.69</v>
      </c>
      <c r="C188" s="78">
        <v>50.94</v>
      </c>
      <c r="D188" s="78">
        <v>100.24</v>
      </c>
      <c r="E188" s="78">
        <v>90.09</v>
      </c>
      <c r="F188" s="78">
        <v>90.96</v>
      </c>
      <c r="G188" s="78">
        <v>1543.59</v>
      </c>
      <c r="H188" s="78">
        <v>-1036.75</v>
      </c>
      <c r="I188" s="78">
        <v>-8.8699999999999992</v>
      </c>
      <c r="J188" s="78">
        <v>531.86</v>
      </c>
      <c r="K188" s="78">
        <v>6737874.5099999998</v>
      </c>
      <c r="L188" s="78">
        <v>554284.87</v>
      </c>
      <c r="M188" s="78">
        <v>531.92999999999995</v>
      </c>
      <c r="N188" s="78">
        <v>90.96</v>
      </c>
      <c r="O188" s="78"/>
      <c r="P188" s="78">
        <v>0</v>
      </c>
      <c r="Q188" s="78">
        <v>0</v>
      </c>
      <c r="R188" s="78">
        <v>0</v>
      </c>
      <c r="S188" s="79" t="s">
        <v>44</v>
      </c>
    </row>
    <row r="189" spans="2:19" ht="12" customHeight="1" x14ac:dyDescent="0.25">
      <c r="B189" s="78">
        <v>1772.78</v>
      </c>
      <c r="C189" s="78">
        <v>50.94</v>
      </c>
      <c r="D189" s="78">
        <v>100.24</v>
      </c>
      <c r="E189" s="78">
        <v>90.09</v>
      </c>
      <c r="F189" s="78">
        <v>90.96</v>
      </c>
      <c r="G189" s="78">
        <v>1543.65</v>
      </c>
      <c r="H189" s="78">
        <v>-1036.81</v>
      </c>
      <c r="I189" s="78">
        <v>-8.8699999999999992</v>
      </c>
      <c r="J189" s="78">
        <v>531.92999999999995</v>
      </c>
      <c r="K189" s="78">
        <v>6737874.5099999998</v>
      </c>
      <c r="L189" s="78">
        <v>554284.93999999994</v>
      </c>
      <c r="M189" s="78">
        <v>532.01</v>
      </c>
      <c r="N189" s="78">
        <v>90.96</v>
      </c>
      <c r="O189" s="78"/>
      <c r="P189" s="78">
        <v>0</v>
      </c>
      <c r="Q189" s="78">
        <v>0</v>
      </c>
      <c r="R189" s="78">
        <v>0</v>
      </c>
      <c r="S189" s="79" t="s">
        <v>45</v>
      </c>
    </row>
    <row r="190" spans="2:19" ht="12" customHeight="1" x14ac:dyDescent="0.25">
      <c r="B190" s="78">
        <v>1780</v>
      </c>
      <c r="C190" s="78">
        <v>50.94</v>
      </c>
      <c r="D190" s="78">
        <v>100.24</v>
      </c>
      <c r="E190" s="78">
        <v>90.09</v>
      </c>
      <c r="F190" s="78">
        <v>90.96</v>
      </c>
      <c r="G190" s="78">
        <v>1548.2</v>
      </c>
      <c r="H190" s="78">
        <v>-1041.3599999999999</v>
      </c>
      <c r="I190" s="78">
        <v>-8.9700000000000006</v>
      </c>
      <c r="J190" s="78">
        <v>537.54</v>
      </c>
      <c r="K190" s="78">
        <v>6737874.5</v>
      </c>
      <c r="L190" s="78">
        <v>554290.55000000005</v>
      </c>
      <c r="M190" s="78">
        <v>537.61</v>
      </c>
      <c r="N190" s="78">
        <v>90.96</v>
      </c>
      <c r="O190" s="78"/>
      <c r="P190" s="78">
        <v>0</v>
      </c>
      <c r="Q190" s="78">
        <v>0</v>
      </c>
      <c r="R190" s="78">
        <v>0</v>
      </c>
      <c r="S190" s="79"/>
    </row>
    <row r="191" spans="2:19" ht="12" customHeight="1" x14ac:dyDescent="0.25">
      <c r="B191" s="78">
        <v>1790</v>
      </c>
      <c r="C191" s="78">
        <v>50.94</v>
      </c>
      <c r="D191" s="78">
        <v>100.24</v>
      </c>
      <c r="E191" s="78">
        <v>90.09</v>
      </c>
      <c r="F191" s="78">
        <v>90.96</v>
      </c>
      <c r="G191" s="78">
        <v>1554.5</v>
      </c>
      <c r="H191" s="78">
        <v>-1047.6600000000001</v>
      </c>
      <c r="I191" s="78">
        <v>-9.1</v>
      </c>
      <c r="J191" s="78">
        <v>545.29999999999995</v>
      </c>
      <c r="K191" s="78">
        <v>6737874.4900000002</v>
      </c>
      <c r="L191" s="78">
        <v>554298.31999999995</v>
      </c>
      <c r="M191" s="78">
        <v>545.38</v>
      </c>
      <c r="N191" s="78">
        <v>90.96</v>
      </c>
      <c r="O191" s="78"/>
      <c r="P191" s="78">
        <v>0</v>
      </c>
      <c r="Q191" s="78">
        <v>0</v>
      </c>
      <c r="R191" s="78">
        <v>0</v>
      </c>
      <c r="S191" s="79"/>
    </row>
    <row r="192" spans="2:19" ht="12" customHeight="1" x14ac:dyDescent="0.25">
      <c r="B192" s="78">
        <v>1800</v>
      </c>
      <c r="C192" s="78">
        <v>50.94</v>
      </c>
      <c r="D192" s="78">
        <v>100.24</v>
      </c>
      <c r="E192" s="78">
        <v>90.09</v>
      </c>
      <c r="F192" s="78">
        <v>90.96</v>
      </c>
      <c r="G192" s="78">
        <v>1560.8</v>
      </c>
      <c r="H192" s="78">
        <v>-1053.96</v>
      </c>
      <c r="I192" s="78">
        <v>-9.23</v>
      </c>
      <c r="J192" s="78">
        <v>553.05999999999995</v>
      </c>
      <c r="K192" s="78">
        <v>6737874.4800000004</v>
      </c>
      <c r="L192" s="78">
        <v>554306.07999999996</v>
      </c>
      <c r="M192" s="78">
        <v>553.14</v>
      </c>
      <c r="N192" s="78">
        <v>90.96</v>
      </c>
      <c r="O192" s="78"/>
      <c r="P192" s="78">
        <v>0</v>
      </c>
      <c r="Q192" s="78">
        <v>0</v>
      </c>
      <c r="R192" s="78">
        <v>0</v>
      </c>
      <c r="S192" s="79"/>
    </row>
    <row r="193" spans="2:19" ht="12" customHeight="1" x14ac:dyDescent="0.25">
      <c r="B193" s="78">
        <v>1810</v>
      </c>
      <c r="C193" s="78">
        <v>50.94</v>
      </c>
      <c r="D193" s="78">
        <v>100.24</v>
      </c>
      <c r="E193" s="78">
        <v>90.09</v>
      </c>
      <c r="F193" s="78">
        <v>90.96</v>
      </c>
      <c r="G193" s="78">
        <v>1567.1</v>
      </c>
      <c r="H193" s="78">
        <v>-1060.26</v>
      </c>
      <c r="I193" s="78">
        <v>-9.35</v>
      </c>
      <c r="J193" s="78">
        <v>560.83000000000004</v>
      </c>
      <c r="K193" s="78">
        <v>6737874.46</v>
      </c>
      <c r="L193" s="78">
        <v>554313.85</v>
      </c>
      <c r="M193" s="78">
        <v>560.91</v>
      </c>
      <c r="N193" s="78">
        <v>90.96</v>
      </c>
      <c r="O193" s="78"/>
      <c r="P193" s="78">
        <v>0</v>
      </c>
      <c r="Q193" s="78">
        <v>0</v>
      </c>
      <c r="R193" s="78">
        <v>0</v>
      </c>
      <c r="S193" s="79"/>
    </row>
    <row r="194" spans="2:19" ht="12" customHeight="1" x14ac:dyDescent="0.25">
      <c r="B194" s="78">
        <v>1820</v>
      </c>
      <c r="C194" s="78">
        <v>50.94</v>
      </c>
      <c r="D194" s="78">
        <v>100.24</v>
      </c>
      <c r="E194" s="78">
        <v>90.09</v>
      </c>
      <c r="F194" s="78">
        <v>90.96</v>
      </c>
      <c r="G194" s="78">
        <v>1573.4</v>
      </c>
      <c r="H194" s="78">
        <v>-1066.56</v>
      </c>
      <c r="I194" s="78">
        <v>-9.48</v>
      </c>
      <c r="J194" s="78">
        <v>568.59</v>
      </c>
      <c r="K194" s="78">
        <v>6737874.4500000002</v>
      </c>
      <c r="L194" s="78">
        <v>554321.61</v>
      </c>
      <c r="M194" s="78">
        <v>568.66999999999996</v>
      </c>
      <c r="N194" s="78">
        <v>90.96</v>
      </c>
      <c r="O194" s="78"/>
      <c r="P194" s="78">
        <v>0</v>
      </c>
      <c r="Q194" s="78">
        <v>0</v>
      </c>
      <c r="R194" s="78">
        <v>0</v>
      </c>
      <c r="S194" s="79"/>
    </row>
    <row r="195" spans="2:19" ht="12" customHeight="1" x14ac:dyDescent="0.25">
      <c r="B195" s="78">
        <v>1830</v>
      </c>
      <c r="C195" s="78">
        <v>50.94</v>
      </c>
      <c r="D195" s="78">
        <v>100.24</v>
      </c>
      <c r="E195" s="78">
        <v>90.09</v>
      </c>
      <c r="F195" s="78">
        <v>90.96</v>
      </c>
      <c r="G195" s="78">
        <v>1579.7</v>
      </c>
      <c r="H195" s="78">
        <v>-1072.8599999999999</v>
      </c>
      <c r="I195" s="78">
        <v>-9.61</v>
      </c>
      <c r="J195" s="78">
        <v>576.36</v>
      </c>
      <c r="K195" s="78">
        <v>6737874.4400000004</v>
      </c>
      <c r="L195" s="78">
        <v>554329.38</v>
      </c>
      <c r="M195" s="78">
        <v>576.44000000000005</v>
      </c>
      <c r="N195" s="78">
        <v>90.96</v>
      </c>
      <c r="O195" s="78"/>
      <c r="P195" s="78">
        <v>0</v>
      </c>
      <c r="Q195" s="78">
        <v>0</v>
      </c>
      <c r="R195" s="78">
        <v>0</v>
      </c>
      <c r="S195" s="79"/>
    </row>
    <row r="196" spans="2:19" ht="12" customHeight="1" x14ac:dyDescent="0.25">
      <c r="B196" s="78">
        <v>1840</v>
      </c>
      <c r="C196" s="78">
        <v>50.94</v>
      </c>
      <c r="D196" s="78">
        <v>100.24</v>
      </c>
      <c r="E196" s="78">
        <v>90.09</v>
      </c>
      <c r="F196" s="78">
        <v>90.96</v>
      </c>
      <c r="G196" s="78">
        <v>1586</v>
      </c>
      <c r="H196" s="78">
        <v>-1079.1600000000001</v>
      </c>
      <c r="I196" s="78">
        <v>-9.74</v>
      </c>
      <c r="J196" s="78">
        <v>584.12</v>
      </c>
      <c r="K196" s="78">
        <v>6737874.4299999997</v>
      </c>
      <c r="L196" s="78">
        <v>554337.14</v>
      </c>
      <c r="M196" s="78">
        <v>584.20000000000005</v>
      </c>
      <c r="N196" s="78">
        <v>90.96</v>
      </c>
      <c r="O196" s="78"/>
      <c r="P196" s="78">
        <v>0</v>
      </c>
      <c r="Q196" s="78">
        <v>0</v>
      </c>
      <c r="R196" s="78">
        <v>0</v>
      </c>
      <c r="S196" s="79"/>
    </row>
    <row r="197" spans="2:19" ht="12" customHeight="1" x14ac:dyDescent="0.25">
      <c r="B197" s="78">
        <v>1842.69</v>
      </c>
      <c r="C197" s="78">
        <v>50.94</v>
      </c>
      <c r="D197" s="78">
        <v>100.24</v>
      </c>
      <c r="E197" s="78">
        <v>90.09</v>
      </c>
      <c r="F197" s="78">
        <v>90.96</v>
      </c>
      <c r="G197" s="78">
        <v>1587.7</v>
      </c>
      <c r="H197" s="78">
        <v>-1080.8599999999999</v>
      </c>
      <c r="I197" s="78">
        <v>-9.7799999999999994</v>
      </c>
      <c r="J197" s="78">
        <v>586.21</v>
      </c>
      <c r="K197" s="78">
        <v>6737874.4199999999</v>
      </c>
      <c r="L197" s="78">
        <v>554339.23</v>
      </c>
      <c r="M197" s="78">
        <v>586.29</v>
      </c>
      <c r="N197" s="78">
        <v>90.96</v>
      </c>
      <c r="O197" s="78"/>
      <c r="P197" s="78">
        <v>0</v>
      </c>
      <c r="Q197" s="78">
        <v>0</v>
      </c>
      <c r="R197" s="78">
        <v>0</v>
      </c>
      <c r="S197" s="79" t="s">
        <v>46</v>
      </c>
    </row>
    <row r="198" spans="2:19" ht="12" customHeight="1" x14ac:dyDescent="0.25">
      <c r="B198" s="78">
        <v>1850</v>
      </c>
      <c r="C198" s="78">
        <v>50.94</v>
      </c>
      <c r="D198" s="78">
        <v>100.24</v>
      </c>
      <c r="E198" s="78">
        <v>90.09</v>
      </c>
      <c r="F198" s="78">
        <v>90.96</v>
      </c>
      <c r="G198" s="78">
        <v>1592.31</v>
      </c>
      <c r="H198" s="78">
        <v>-1085.47</v>
      </c>
      <c r="I198" s="78">
        <v>-9.8699999999999992</v>
      </c>
      <c r="J198" s="78">
        <v>591.88</v>
      </c>
      <c r="K198" s="78">
        <v>6737874.4100000001</v>
      </c>
      <c r="L198" s="78">
        <v>554344.91</v>
      </c>
      <c r="M198" s="78">
        <v>591.97</v>
      </c>
      <c r="N198" s="78">
        <v>90.96</v>
      </c>
      <c r="O198" s="78"/>
      <c r="P198" s="78">
        <v>0</v>
      </c>
      <c r="Q198" s="78">
        <v>0</v>
      </c>
      <c r="R198" s="78">
        <v>0</v>
      </c>
      <c r="S198" s="79"/>
    </row>
    <row r="199" spans="2:19" ht="12" customHeight="1" x14ac:dyDescent="0.25">
      <c r="B199" s="78">
        <v>1860</v>
      </c>
      <c r="C199" s="78">
        <v>50.94</v>
      </c>
      <c r="D199" s="78">
        <v>100.24</v>
      </c>
      <c r="E199" s="78">
        <v>90.09</v>
      </c>
      <c r="F199" s="78">
        <v>90.96</v>
      </c>
      <c r="G199" s="78">
        <v>1598.61</v>
      </c>
      <c r="H199" s="78">
        <v>-1091.77</v>
      </c>
      <c r="I199" s="78">
        <v>-10</v>
      </c>
      <c r="J199" s="78">
        <v>599.65</v>
      </c>
      <c r="K199" s="78">
        <v>6737874.4000000004</v>
      </c>
      <c r="L199" s="78">
        <v>554352.67000000004</v>
      </c>
      <c r="M199" s="78">
        <v>599.73</v>
      </c>
      <c r="N199" s="78">
        <v>90.96</v>
      </c>
      <c r="O199" s="78"/>
      <c r="P199" s="78">
        <v>0</v>
      </c>
      <c r="Q199" s="78">
        <v>0</v>
      </c>
      <c r="R199" s="78">
        <v>0</v>
      </c>
      <c r="S199" s="79"/>
    </row>
    <row r="200" spans="2:19" ht="12" customHeight="1" x14ac:dyDescent="0.25">
      <c r="B200" s="78">
        <v>1870</v>
      </c>
      <c r="C200" s="78">
        <v>50.94</v>
      </c>
      <c r="D200" s="78">
        <v>100.24</v>
      </c>
      <c r="E200" s="78">
        <v>90.09</v>
      </c>
      <c r="F200" s="78">
        <v>90.96</v>
      </c>
      <c r="G200" s="78">
        <v>1604.91</v>
      </c>
      <c r="H200" s="78">
        <v>-1098.07</v>
      </c>
      <c r="I200" s="78">
        <v>-10.130000000000001</v>
      </c>
      <c r="J200" s="78">
        <v>607.41</v>
      </c>
      <c r="K200" s="78">
        <v>6737874.3899999997</v>
      </c>
      <c r="L200" s="78">
        <v>554360.43999999994</v>
      </c>
      <c r="M200" s="78">
        <v>607.5</v>
      </c>
      <c r="N200" s="78">
        <v>90.96</v>
      </c>
      <c r="O200" s="78"/>
      <c r="P200" s="78">
        <v>0</v>
      </c>
      <c r="Q200" s="78">
        <v>0</v>
      </c>
      <c r="R200" s="78">
        <v>0</v>
      </c>
      <c r="S200" s="79"/>
    </row>
    <row r="201" spans="2:19" ht="12" customHeight="1" x14ac:dyDescent="0.25">
      <c r="B201" s="78">
        <v>1880</v>
      </c>
      <c r="C201" s="78">
        <v>50.94</v>
      </c>
      <c r="D201" s="78">
        <v>100.24</v>
      </c>
      <c r="E201" s="78">
        <v>90.09</v>
      </c>
      <c r="F201" s="78">
        <v>90.96</v>
      </c>
      <c r="G201" s="78">
        <v>1611.21</v>
      </c>
      <c r="H201" s="78">
        <v>-1104.3699999999999</v>
      </c>
      <c r="I201" s="78">
        <v>-10.26</v>
      </c>
      <c r="J201" s="78">
        <v>615.17999999999995</v>
      </c>
      <c r="K201" s="78">
        <v>6737874.3700000001</v>
      </c>
      <c r="L201" s="78">
        <v>554368.19999999995</v>
      </c>
      <c r="M201" s="78">
        <v>615.26</v>
      </c>
      <c r="N201" s="78">
        <v>90.96</v>
      </c>
      <c r="O201" s="78"/>
      <c r="P201" s="78">
        <v>0</v>
      </c>
      <c r="Q201" s="78">
        <v>0</v>
      </c>
      <c r="R201" s="78">
        <v>0</v>
      </c>
      <c r="S201" s="79"/>
    </row>
    <row r="202" spans="2:19" ht="12" customHeight="1" x14ac:dyDescent="0.25">
      <c r="B202" s="78">
        <v>1882.07</v>
      </c>
      <c r="C202" s="78">
        <v>50.94</v>
      </c>
      <c r="D202" s="78">
        <v>100.24</v>
      </c>
      <c r="E202" s="78">
        <v>90.09</v>
      </c>
      <c r="F202" s="78">
        <v>90.96</v>
      </c>
      <c r="G202" s="78">
        <v>1612.51</v>
      </c>
      <c r="H202" s="78">
        <v>-1105.67</v>
      </c>
      <c r="I202" s="78">
        <v>-10.29</v>
      </c>
      <c r="J202" s="78">
        <v>616.78</v>
      </c>
      <c r="K202" s="78">
        <v>6737874.3700000001</v>
      </c>
      <c r="L202" s="78">
        <v>554369.81000000006</v>
      </c>
      <c r="M202" s="78">
        <v>616.87</v>
      </c>
      <c r="N202" s="78">
        <v>90.96</v>
      </c>
      <c r="O202" s="78"/>
      <c r="P202" s="78">
        <v>0</v>
      </c>
      <c r="Q202" s="78">
        <v>0</v>
      </c>
      <c r="R202" s="78">
        <v>0</v>
      </c>
      <c r="S202" s="79" t="s">
        <v>47</v>
      </c>
    </row>
    <row r="203" spans="2:19" ht="12" customHeight="1" x14ac:dyDescent="0.25">
      <c r="B203" s="78">
        <v>1890</v>
      </c>
      <c r="C203" s="78">
        <v>50.94</v>
      </c>
      <c r="D203" s="78">
        <v>100.24</v>
      </c>
      <c r="E203" s="78">
        <v>90.09</v>
      </c>
      <c r="F203" s="78">
        <v>90.96</v>
      </c>
      <c r="G203" s="78">
        <v>1617.51</v>
      </c>
      <c r="H203" s="78">
        <v>-1110.67</v>
      </c>
      <c r="I203" s="78">
        <v>-10.39</v>
      </c>
      <c r="J203" s="78">
        <v>622.94000000000005</v>
      </c>
      <c r="K203" s="78">
        <v>6737874.3600000003</v>
      </c>
      <c r="L203" s="78">
        <v>554375.97</v>
      </c>
      <c r="M203" s="78">
        <v>623.03</v>
      </c>
      <c r="N203" s="78">
        <v>90.96</v>
      </c>
      <c r="O203" s="78"/>
      <c r="P203" s="78">
        <v>0</v>
      </c>
      <c r="Q203" s="78">
        <v>0</v>
      </c>
      <c r="R203" s="78">
        <v>0</v>
      </c>
      <c r="S203" s="79"/>
    </row>
    <row r="204" spans="2:19" ht="12" customHeight="1" x14ac:dyDescent="0.25">
      <c r="B204" s="78">
        <v>1900</v>
      </c>
      <c r="C204" s="78">
        <v>50.94</v>
      </c>
      <c r="D204" s="78">
        <v>100.24</v>
      </c>
      <c r="E204" s="78">
        <v>90.09</v>
      </c>
      <c r="F204" s="78">
        <v>90.96</v>
      </c>
      <c r="G204" s="78">
        <v>1623.81</v>
      </c>
      <c r="H204" s="78">
        <v>-1116.97</v>
      </c>
      <c r="I204" s="78">
        <v>-10.52</v>
      </c>
      <c r="J204" s="78">
        <v>630.71</v>
      </c>
      <c r="K204" s="78">
        <v>6737874.3499999996</v>
      </c>
      <c r="L204" s="78">
        <v>554383.73</v>
      </c>
      <c r="M204" s="78">
        <v>630.79</v>
      </c>
      <c r="N204" s="78">
        <v>90.96</v>
      </c>
      <c r="O204" s="78"/>
      <c r="P204" s="78">
        <v>0</v>
      </c>
      <c r="Q204" s="78">
        <v>0</v>
      </c>
      <c r="R204" s="78">
        <v>0</v>
      </c>
      <c r="S204" s="79"/>
    </row>
    <row r="205" spans="2:19" ht="12" customHeight="1" x14ac:dyDescent="0.25">
      <c r="B205" s="78">
        <v>1910</v>
      </c>
      <c r="C205" s="78">
        <v>50.94</v>
      </c>
      <c r="D205" s="78">
        <v>100.24</v>
      </c>
      <c r="E205" s="78">
        <v>90.09</v>
      </c>
      <c r="F205" s="78">
        <v>90.96</v>
      </c>
      <c r="G205" s="78">
        <v>1630.11</v>
      </c>
      <c r="H205" s="78">
        <v>-1123.27</v>
      </c>
      <c r="I205" s="78">
        <v>-10.65</v>
      </c>
      <c r="J205" s="78">
        <v>638.47</v>
      </c>
      <c r="K205" s="78">
        <v>6737874.3399999999</v>
      </c>
      <c r="L205" s="78">
        <v>554391.5</v>
      </c>
      <c r="M205" s="78">
        <v>638.55999999999995</v>
      </c>
      <c r="N205" s="78">
        <v>90.96</v>
      </c>
      <c r="O205" s="78"/>
      <c r="P205" s="78">
        <v>0</v>
      </c>
      <c r="Q205" s="78">
        <v>0</v>
      </c>
      <c r="R205" s="78">
        <v>0</v>
      </c>
      <c r="S205" s="79"/>
    </row>
    <row r="206" spans="2:19" ht="12" customHeight="1" x14ac:dyDescent="0.25">
      <c r="B206" s="78">
        <v>1920</v>
      </c>
      <c r="C206" s="78">
        <v>50.94</v>
      </c>
      <c r="D206" s="78">
        <v>100.24</v>
      </c>
      <c r="E206" s="78">
        <v>90.09</v>
      </c>
      <c r="F206" s="78">
        <v>90.96</v>
      </c>
      <c r="G206" s="78">
        <v>1636.41</v>
      </c>
      <c r="H206" s="78">
        <v>-1129.57</v>
      </c>
      <c r="I206" s="78">
        <v>-10.78</v>
      </c>
      <c r="J206" s="78">
        <v>646.23</v>
      </c>
      <c r="K206" s="78">
        <v>6737874.3200000003</v>
      </c>
      <c r="L206" s="78">
        <v>554399.26</v>
      </c>
      <c r="M206" s="78">
        <v>646.32000000000005</v>
      </c>
      <c r="N206" s="78">
        <v>90.96</v>
      </c>
      <c r="O206" s="78"/>
      <c r="P206" s="78">
        <v>0</v>
      </c>
      <c r="Q206" s="78">
        <v>0</v>
      </c>
      <c r="R206" s="78">
        <v>0</v>
      </c>
      <c r="S206" s="79"/>
    </row>
    <row r="207" spans="2:19" ht="12" customHeight="1" x14ac:dyDescent="0.25">
      <c r="B207" s="78">
        <v>1930</v>
      </c>
      <c r="C207" s="78">
        <v>50.94</v>
      </c>
      <c r="D207" s="78">
        <v>100.24</v>
      </c>
      <c r="E207" s="78">
        <v>90.09</v>
      </c>
      <c r="F207" s="78">
        <v>90.96</v>
      </c>
      <c r="G207" s="78">
        <v>1642.71</v>
      </c>
      <c r="H207" s="78">
        <v>-1135.8699999999999</v>
      </c>
      <c r="I207" s="78">
        <v>-10.91</v>
      </c>
      <c r="J207" s="78">
        <v>654</v>
      </c>
      <c r="K207" s="78">
        <v>6737874.3099999996</v>
      </c>
      <c r="L207" s="78">
        <v>554407.03</v>
      </c>
      <c r="M207" s="78">
        <v>654.09</v>
      </c>
      <c r="N207" s="78">
        <v>90.96</v>
      </c>
      <c r="O207" s="78"/>
      <c r="P207" s="78">
        <v>0</v>
      </c>
      <c r="Q207" s="78">
        <v>0</v>
      </c>
      <c r="R207" s="78">
        <v>0</v>
      </c>
      <c r="S207" s="79"/>
    </row>
    <row r="208" spans="2:19" ht="12" customHeight="1" x14ac:dyDescent="0.25">
      <c r="B208" s="78">
        <v>1940</v>
      </c>
      <c r="C208" s="78">
        <v>50.94</v>
      </c>
      <c r="D208" s="78">
        <v>100.24</v>
      </c>
      <c r="E208" s="78">
        <v>90.09</v>
      </c>
      <c r="F208" s="78">
        <v>90.96</v>
      </c>
      <c r="G208" s="78">
        <v>1649.01</v>
      </c>
      <c r="H208" s="78">
        <v>-1142.17</v>
      </c>
      <c r="I208" s="78">
        <v>-11.04</v>
      </c>
      <c r="J208" s="78">
        <v>661.76</v>
      </c>
      <c r="K208" s="78">
        <v>6737874.2999999998</v>
      </c>
      <c r="L208" s="78">
        <v>554414.79</v>
      </c>
      <c r="M208" s="78">
        <v>661.85</v>
      </c>
      <c r="N208" s="78">
        <v>90.96</v>
      </c>
      <c r="O208" s="78"/>
      <c r="P208" s="78">
        <v>0</v>
      </c>
      <c r="Q208" s="78">
        <v>0</v>
      </c>
      <c r="R208" s="78">
        <v>0</v>
      </c>
      <c r="S208" s="79"/>
    </row>
    <row r="209" spans="2:19" ht="12" customHeight="1" x14ac:dyDescent="0.25">
      <c r="B209" s="78">
        <v>1946.45</v>
      </c>
      <c r="C209" s="78">
        <v>50.94</v>
      </c>
      <c r="D209" s="78">
        <v>100.24</v>
      </c>
      <c r="E209" s="78">
        <v>90.09</v>
      </c>
      <c r="F209" s="78">
        <v>90.96</v>
      </c>
      <c r="G209" s="78">
        <v>1653.08</v>
      </c>
      <c r="H209" s="78">
        <v>-1146.24</v>
      </c>
      <c r="I209" s="78">
        <v>-11.12</v>
      </c>
      <c r="J209" s="78">
        <v>666.77</v>
      </c>
      <c r="K209" s="78">
        <v>6737874.29</v>
      </c>
      <c r="L209" s="78">
        <v>554419.80000000005</v>
      </c>
      <c r="M209" s="78">
        <v>666.86</v>
      </c>
      <c r="N209" s="78">
        <v>90.96</v>
      </c>
      <c r="O209" s="78"/>
      <c r="P209" s="78">
        <v>0</v>
      </c>
      <c r="Q209" s="78">
        <v>0</v>
      </c>
      <c r="R209" s="78">
        <v>0</v>
      </c>
      <c r="S209" s="79" t="s">
        <v>48</v>
      </c>
    </row>
    <row r="210" spans="2:19" ht="12" customHeight="1" x14ac:dyDescent="0.25">
      <c r="B210" s="78">
        <v>1950</v>
      </c>
      <c r="C210" s="78">
        <v>50.94</v>
      </c>
      <c r="D210" s="78">
        <v>100.24</v>
      </c>
      <c r="E210" s="78">
        <v>90.09</v>
      </c>
      <c r="F210" s="78">
        <v>90.96</v>
      </c>
      <c r="G210" s="78">
        <v>1655.32</v>
      </c>
      <c r="H210" s="78">
        <v>-1148.48</v>
      </c>
      <c r="I210" s="78">
        <v>-11.17</v>
      </c>
      <c r="J210" s="78">
        <v>669.53</v>
      </c>
      <c r="K210" s="78">
        <v>6737874.2800000003</v>
      </c>
      <c r="L210" s="78">
        <v>554422.56000000006</v>
      </c>
      <c r="M210" s="78">
        <v>669.62</v>
      </c>
      <c r="N210" s="78">
        <v>90.96</v>
      </c>
      <c r="O210" s="78"/>
      <c r="P210" s="78">
        <v>0</v>
      </c>
      <c r="Q210" s="78">
        <v>0</v>
      </c>
      <c r="R210" s="78">
        <v>0</v>
      </c>
      <c r="S210" s="79"/>
    </row>
    <row r="211" spans="2:19" ht="12" customHeight="1" x14ac:dyDescent="0.25">
      <c r="B211" s="78">
        <v>1960</v>
      </c>
      <c r="C211" s="78">
        <v>50.94</v>
      </c>
      <c r="D211" s="78">
        <v>100.24</v>
      </c>
      <c r="E211" s="78">
        <v>90.09</v>
      </c>
      <c r="F211" s="78">
        <v>90.96</v>
      </c>
      <c r="G211" s="78">
        <v>1661.62</v>
      </c>
      <c r="H211" s="78">
        <v>-1154.78</v>
      </c>
      <c r="I211" s="78">
        <v>-11.3</v>
      </c>
      <c r="J211" s="78">
        <v>677.29</v>
      </c>
      <c r="K211" s="78">
        <v>6737874.2699999996</v>
      </c>
      <c r="L211" s="78">
        <v>554430.31999999995</v>
      </c>
      <c r="M211" s="78">
        <v>677.38</v>
      </c>
      <c r="N211" s="78">
        <v>90.96</v>
      </c>
      <c r="O211" s="78"/>
      <c r="P211" s="78">
        <v>0</v>
      </c>
      <c r="Q211" s="78">
        <v>0</v>
      </c>
      <c r="R211" s="78">
        <v>0</v>
      </c>
      <c r="S211" s="79"/>
    </row>
    <row r="212" spans="2:19" ht="12" customHeight="1" x14ac:dyDescent="0.25">
      <c r="B212" s="78">
        <v>1970</v>
      </c>
      <c r="C212" s="78">
        <v>50.94</v>
      </c>
      <c r="D212" s="78">
        <v>100.24</v>
      </c>
      <c r="E212" s="78">
        <v>90.09</v>
      </c>
      <c r="F212" s="78">
        <v>90.96</v>
      </c>
      <c r="G212" s="78">
        <v>1667.92</v>
      </c>
      <c r="H212" s="78">
        <v>-1161.08</v>
      </c>
      <c r="I212" s="78">
        <v>-11.43</v>
      </c>
      <c r="J212" s="78">
        <v>685.05</v>
      </c>
      <c r="K212" s="78">
        <v>6737874.2599999998</v>
      </c>
      <c r="L212" s="78">
        <v>554438.09</v>
      </c>
      <c r="M212" s="78">
        <v>685.15</v>
      </c>
      <c r="N212" s="78">
        <v>90.96</v>
      </c>
      <c r="O212" s="78"/>
      <c r="P212" s="78">
        <v>0</v>
      </c>
      <c r="Q212" s="78">
        <v>0</v>
      </c>
      <c r="R212" s="78">
        <v>0</v>
      </c>
      <c r="S212" s="79"/>
    </row>
    <row r="213" spans="2:19" ht="12" customHeight="1" x14ac:dyDescent="0.25">
      <c r="B213" s="78">
        <v>1977.56</v>
      </c>
      <c r="C213" s="78">
        <v>50.94</v>
      </c>
      <c r="D213" s="78">
        <v>100.24</v>
      </c>
      <c r="E213" s="78">
        <v>90.09</v>
      </c>
      <c r="F213" s="78">
        <v>90.96</v>
      </c>
      <c r="G213" s="78">
        <v>1672.68</v>
      </c>
      <c r="H213" s="78">
        <v>-1165.8399999999999</v>
      </c>
      <c r="I213" s="78">
        <v>-11.52</v>
      </c>
      <c r="J213" s="78">
        <v>690.92</v>
      </c>
      <c r="K213" s="78">
        <v>6737874.25</v>
      </c>
      <c r="L213" s="78">
        <v>554443.96</v>
      </c>
      <c r="M213" s="78">
        <v>691.02</v>
      </c>
      <c r="N213" s="78">
        <v>90.96</v>
      </c>
      <c r="O213" s="78"/>
      <c r="P213" s="78">
        <v>0</v>
      </c>
      <c r="Q213" s="78">
        <v>0</v>
      </c>
      <c r="R213" s="78">
        <v>0</v>
      </c>
      <c r="S213" s="79" t="s">
        <v>49</v>
      </c>
    </row>
    <row r="214" spans="2:19" ht="12" customHeight="1" x14ac:dyDescent="0.25">
      <c r="B214" s="78">
        <v>1980</v>
      </c>
      <c r="C214" s="78">
        <v>50.94</v>
      </c>
      <c r="D214" s="78">
        <v>100.24</v>
      </c>
      <c r="E214" s="78">
        <v>90.09</v>
      </c>
      <c r="F214" s="78">
        <v>90.96</v>
      </c>
      <c r="G214" s="78">
        <v>1674.22</v>
      </c>
      <c r="H214" s="78">
        <v>-1167.3800000000001</v>
      </c>
      <c r="I214" s="78">
        <v>-11.56</v>
      </c>
      <c r="J214" s="78">
        <v>692.82</v>
      </c>
      <c r="K214" s="78">
        <v>6737874.25</v>
      </c>
      <c r="L214" s="78">
        <v>554445.85</v>
      </c>
      <c r="M214" s="78">
        <v>692.91</v>
      </c>
      <c r="N214" s="78">
        <v>90.96</v>
      </c>
      <c r="O214" s="78"/>
      <c r="P214" s="78">
        <v>0</v>
      </c>
      <c r="Q214" s="78">
        <v>0</v>
      </c>
      <c r="R214" s="78">
        <v>0</v>
      </c>
      <c r="S214" s="79"/>
    </row>
    <row r="215" spans="2:19" ht="12" customHeight="1" x14ac:dyDescent="0.25">
      <c r="B215" s="78">
        <v>1990</v>
      </c>
      <c r="C215" s="78">
        <v>50.94</v>
      </c>
      <c r="D215" s="78">
        <v>100.24</v>
      </c>
      <c r="E215" s="78">
        <v>90.09</v>
      </c>
      <c r="F215" s="78">
        <v>90.96</v>
      </c>
      <c r="G215" s="78">
        <v>1680.52</v>
      </c>
      <c r="H215" s="78">
        <v>-1173.68</v>
      </c>
      <c r="I215" s="78">
        <v>-11.69</v>
      </c>
      <c r="J215" s="78">
        <v>700.58</v>
      </c>
      <c r="K215" s="78">
        <v>6737874.2300000004</v>
      </c>
      <c r="L215" s="78">
        <v>554453.62</v>
      </c>
      <c r="M215" s="78">
        <v>700.68</v>
      </c>
      <c r="N215" s="78">
        <v>90.96</v>
      </c>
      <c r="O215" s="78"/>
      <c r="P215" s="78">
        <v>0</v>
      </c>
      <c r="Q215" s="78">
        <v>0</v>
      </c>
      <c r="R215" s="78">
        <v>0</v>
      </c>
      <c r="S215" s="79"/>
    </row>
    <row r="216" spans="2:19" ht="12" customHeight="1" x14ac:dyDescent="0.25">
      <c r="B216" s="78">
        <v>2000</v>
      </c>
      <c r="C216" s="78">
        <v>50.94</v>
      </c>
      <c r="D216" s="78">
        <v>100.24</v>
      </c>
      <c r="E216" s="78">
        <v>90.09</v>
      </c>
      <c r="F216" s="78">
        <v>90.96</v>
      </c>
      <c r="G216" s="78">
        <v>1686.82</v>
      </c>
      <c r="H216" s="78">
        <v>-1179.98</v>
      </c>
      <c r="I216" s="78">
        <v>-11.82</v>
      </c>
      <c r="J216" s="78">
        <v>708.35</v>
      </c>
      <c r="K216" s="78">
        <v>6737874.2199999997</v>
      </c>
      <c r="L216" s="78">
        <v>554461.38</v>
      </c>
      <c r="M216" s="78">
        <v>708.44</v>
      </c>
      <c r="N216" s="78">
        <v>90.96</v>
      </c>
      <c r="O216" s="78"/>
      <c r="P216" s="78">
        <v>0</v>
      </c>
      <c r="Q216" s="78">
        <v>0</v>
      </c>
      <c r="R216" s="78">
        <v>0</v>
      </c>
      <c r="S216" s="79"/>
    </row>
    <row r="217" spans="2:19" ht="12" customHeight="1" x14ac:dyDescent="0.25">
      <c r="B217" s="78">
        <v>2010</v>
      </c>
      <c r="C217" s="78">
        <v>50.94</v>
      </c>
      <c r="D217" s="78">
        <v>100.24</v>
      </c>
      <c r="E217" s="78">
        <v>90.09</v>
      </c>
      <c r="F217" s="78">
        <v>90.96</v>
      </c>
      <c r="G217" s="78">
        <v>1693.12</v>
      </c>
      <c r="H217" s="78">
        <v>-1186.28</v>
      </c>
      <c r="I217" s="78">
        <v>-11.94</v>
      </c>
      <c r="J217" s="78">
        <v>716.11</v>
      </c>
      <c r="K217" s="78">
        <v>6737874.21</v>
      </c>
      <c r="L217" s="78">
        <v>554469.15</v>
      </c>
      <c r="M217" s="78">
        <v>716.21</v>
      </c>
      <c r="N217" s="78">
        <v>90.96</v>
      </c>
      <c r="O217" s="78"/>
      <c r="P217" s="78">
        <v>0</v>
      </c>
      <c r="Q217" s="78">
        <v>0</v>
      </c>
      <c r="R217" s="78">
        <v>0</v>
      </c>
      <c r="S217" s="79"/>
    </row>
    <row r="218" spans="2:19" ht="12" customHeight="1" x14ac:dyDescent="0.25">
      <c r="B218" s="78">
        <v>2020</v>
      </c>
      <c r="C218" s="78">
        <v>50.94</v>
      </c>
      <c r="D218" s="78">
        <v>100.24</v>
      </c>
      <c r="E218" s="78">
        <v>90.09</v>
      </c>
      <c r="F218" s="78">
        <v>90.96</v>
      </c>
      <c r="G218" s="78">
        <v>1699.42</v>
      </c>
      <c r="H218" s="78">
        <v>-1192.58</v>
      </c>
      <c r="I218" s="78">
        <v>-12.07</v>
      </c>
      <c r="J218" s="78">
        <v>723.87</v>
      </c>
      <c r="K218" s="78">
        <v>6737874.1900000004</v>
      </c>
      <c r="L218" s="78">
        <v>554476.91</v>
      </c>
      <c r="M218" s="78">
        <v>723.97</v>
      </c>
      <c r="N218" s="78">
        <v>90.96</v>
      </c>
      <c r="O218" s="78"/>
      <c r="P218" s="78">
        <v>0</v>
      </c>
      <c r="Q218" s="78">
        <v>0</v>
      </c>
      <c r="R218" s="78">
        <v>0</v>
      </c>
      <c r="S218" s="79"/>
    </row>
    <row r="219" spans="2:19" ht="12" customHeight="1" x14ac:dyDescent="0.25">
      <c r="B219" s="78">
        <v>2030</v>
      </c>
      <c r="C219" s="78">
        <v>50.94</v>
      </c>
      <c r="D219" s="78">
        <v>100.24</v>
      </c>
      <c r="E219" s="78">
        <v>90.09</v>
      </c>
      <c r="F219" s="78">
        <v>90.96</v>
      </c>
      <c r="G219" s="78">
        <v>1705.72</v>
      </c>
      <c r="H219" s="78">
        <v>-1198.8800000000001</v>
      </c>
      <c r="I219" s="78">
        <v>-12.2</v>
      </c>
      <c r="J219" s="78">
        <v>731.64</v>
      </c>
      <c r="K219" s="78">
        <v>6737874.1799999997</v>
      </c>
      <c r="L219" s="78">
        <v>554484.68000000005</v>
      </c>
      <c r="M219" s="78">
        <v>731.74</v>
      </c>
      <c r="N219" s="78">
        <v>90.96</v>
      </c>
      <c r="O219" s="78"/>
      <c r="P219" s="78">
        <v>0</v>
      </c>
      <c r="Q219" s="78">
        <v>0</v>
      </c>
      <c r="R219" s="78">
        <v>0</v>
      </c>
      <c r="S219" s="79"/>
    </row>
    <row r="220" spans="2:19" ht="12" customHeight="1" x14ac:dyDescent="0.25">
      <c r="B220" s="78">
        <v>2040</v>
      </c>
      <c r="C220" s="78">
        <v>50.94</v>
      </c>
      <c r="D220" s="78">
        <v>100.24</v>
      </c>
      <c r="E220" s="78">
        <v>90.09</v>
      </c>
      <c r="F220" s="78">
        <v>90.96</v>
      </c>
      <c r="G220" s="78">
        <v>1712.02</v>
      </c>
      <c r="H220" s="78">
        <v>-1205.18</v>
      </c>
      <c r="I220" s="78">
        <v>-12.33</v>
      </c>
      <c r="J220" s="78">
        <v>739.4</v>
      </c>
      <c r="K220" s="78">
        <v>6737874.1699999999</v>
      </c>
      <c r="L220" s="78">
        <v>554492.43999999994</v>
      </c>
      <c r="M220" s="78">
        <v>739.51</v>
      </c>
      <c r="N220" s="78">
        <v>90.96</v>
      </c>
      <c r="O220" s="78"/>
      <c r="P220" s="78">
        <v>0</v>
      </c>
      <c r="Q220" s="78">
        <v>0</v>
      </c>
      <c r="R220" s="78">
        <v>0</v>
      </c>
      <c r="S220" s="79"/>
    </row>
    <row r="221" spans="2:19" ht="12" customHeight="1" x14ac:dyDescent="0.25">
      <c r="B221" s="78">
        <v>2050</v>
      </c>
      <c r="C221" s="78">
        <v>50.94</v>
      </c>
      <c r="D221" s="78">
        <v>100.24</v>
      </c>
      <c r="E221" s="78">
        <v>90.09</v>
      </c>
      <c r="F221" s="78">
        <v>90.96</v>
      </c>
      <c r="G221" s="78">
        <v>1718.33</v>
      </c>
      <c r="H221" s="78">
        <v>-1211.49</v>
      </c>
      <c r="I221" s="78">
        <v>-12.46</v>
      </c>
      <c r="J221" s="78">
        <v>747.17</v>
      </c>
      <c r="K221" s="78">
        <v>6737874.1600000001</v>
      </c>
      <c r="L221" s="78">
        <v>554500.21</v>
      </c>
      <c r="M221" s="78">
        <v>747.27</v>
      </c>
      <c r="N221" s="78">
        <v>90.96</v>
      </c>
      <c r="O221" s="78"/>
      <c r="P221" s="78">
        <v>0</v>
      </c>
      <c r="Q221" s="78">
        <v>0</v>
      </c>
      <c r="R221" s="78">
        <v>0</v>
      </c>
      <c r="S221" s="79"/>
    </row>
    <row r="222" spans="2:19" ht="12" customHeight="1" x14ac:dyDescent="0.25">
      <c r="B222" s="78">
        <v>2060</v>
      </c>
      <c r="C222" s="78">
        <v>50.94</v>
      </c>
      <c r="D222" s="78">
        <v>100.24</v>
      </c>
      <c r="E222" s="78">
        <v>90.09</v>
      </c>
      <c r="F222" s="78">
        <v>90.96</v>
      </c>
      <c r="G222" s="78">
        <v>1724.63</v>
      </c>
      <c r="H222" s="78">
        <v>-1217.79</v>
      </c>
      <c r="I222" s="78">
        <v>-12.59</v>
      </c>
      <c r="J222" s="78">
        <v>754.93</v>
      </c>
      <c r="K222" s="78">
        <v>6737874.1399999997</v>
      </c>
      <c r="L222" s="78">
        <v>554507.97</v>
      </c>
      <c r="M222" s="78">
        <v>755.04</v>
      </c>
      <c r="N222" s="78">
        <v>90.96</v>
      </c>
      <c r="O222" s="78"/>
      <c r="P222" s="78">
        <v>0</v>
      </c>
      <c r="Q222" s="78">
        <v>0</v>
      </c>
      <c r="R222" s="78">
        <v>0</v>
      </c>
      <c r="S222" s="79"/>
    </row>
    <row r="223" spans="2:19" ht="12" customHeight="1" x14ac:dyDescent="0.25">
      <c r="B223" s="78">
        <v>2070</v>
      </c>
      <c r="C223" s="78">
        <v>50.94</v>
      </c>
      <c r="D223" s="78">
        <v>100.24</v>
      </c>
      <c r="E223" s="78">
        <v>90.09</v>
      </c>
      <c r="F223" s="78">
        <v>90.96</v>
      </c>
      <c r="G223" s="78">
        <v>1730.93</v>
      </c>
      <c r="H223" s="78">
        <v>-1224.0899999999999</v>
      </c>
      <c r="I223" s="78">
        <v>-12.72</v>
      </c>
      <c r="J223" s="78">
        <v>762.69</v>
      </c>
      <c r="K223" s="78">
        <v>6737874.1299999999</v>
      </c>
      <c r="L223" s="78">
        <v>554515.74</v>
      </c>
      <c r="M223" s="78">
        <v>762.8</v>
      </c>
      <c r="N223" s="78">
        <v>90.96</v>
      </c>
      <c r="O223" s="78"/>
      <c r="P223" s="78">
        <v>0</v>
      </c>
      <c r="Q223" s="78">
        <v>0</v>
      </c>
      <c r="R223" s="78">
        <v>0</v>
      </c>
      <c r="S223" s="79"/>
    </row>
    <row r="224" spans="2:19" ht="12" customHeight="1" x14ac:dyDescent="0.25">
      <c r="B224" s="78">
        <v>2080</v>
      </c>
      <c r="C224" s="78">
        <v>50.94</v>
      </c>
      <c r="D224" s="78">
        <v>100.24</v>
      </c>
      <c r="E224" s="78">
        <v>90.09</v>
      </c>
      <c r="F224" s="78">
        <v>90.96</v>
      </c>
      <c r="G224" s="78">
        <v>1737.23</v>
      </c>
      <c r="H224" s="78">
        <v>-1230.3900000000001</v>
      </c>
      <c r="I224" s="78">
        <v>-12.85</v>
      </c>
      <c r="J224" s="78">
        <v>770.46</v>
      </c>
      <c r="K224" s="78">
        <v>6737874.1200000001</v>
      </c>
      <c r="L224" s="78">
        <v>554523.5</v>
      </c>
      <c r="M224" s="78">
        <v>770.57</v>
      </c>
      <c r="N224" s="78">
        <v>90.96</v>
      </c>
      <c r="O224" s="78"/>
      <c r="P224" s="78">
        <v>0</v>
      </c>
      <c r="Q224" s="78">
        <v>0</v>
      </c>
      <c r="R224" s="78">
        <v>0</v>
      </c>
      <c r="S224" s="79"/>
    </row>
    <row r="225" spans="2:19" ht="12" customHeight="1" x14ac:dyDescent="0.25">
      <c r="B225" s="78">
        <v>2090</v>
      </c>
      <c r="C225" s="78">
        <v>50.94</v>
      </c>
      <c r="D225" s="78">
        <v>100.24</v>
      </c>
      <c r="E225" s="78">
        <v>90.09</v>
      </c>
      <c r="F225" s="78">
        <v>90.96</v>
      </c>
      <c r="G225" s="78">
        <v>1743.53</v>
      </c>
      <c r="H225" s="78">
        <v>-1236.69</v>
      </c>
      <c r="I225" s="78">
        <v>-12.98</v>
      </c>
      <c r="J225" s="78">
        <v>778.22</v>
      </c>
      <c r="K225" s="78">
        <v>6737874.0999999996</v>
      </c>
      <c r="L225" s="78">
        <v>554531.27</v>
      </c>
      <c r="M225" s="78">
        <v>778.33</v>
      </c>
      <c r="N225" s="78">
        <v>90.96</v>
      </c>
      <c r="O225" s="78"/>
      <c r="P225" s="78">
        <v>0</v>
      </c>
      <c r="Q225" s="78">
        <v>0</v>
      </c>
      <c r="R225" s="78">
        <v>0</v>
      </c>
      <c r="S225" s="79"/>
    </row>
    <row r="226" spans="2:19" ht="12" customHeight="1" x14ac:dyDescent="0.25">
      <c r="B226" s="78">
        <v>2100</v>
      </c>
      <c r="C226" s="78">
        <v>50.94</v>
      </c>
      <c r="D226" s="78">
        <v>100.24</v>
      </c>
      <c r="E226" s="78">
        <v>90.09</v>
      </c>
      <c r="F226" s="78">
        <v>90.96</v>
      </c>
      <c r="G226" s="78">
        <v>1749.83</v>
      </c>
      <c r="H226" s="78">
        <v>-1242.99</v>
      </c>
      <c r="I226" s="78">
        <v>-13.11</v>
      </c>
      <c r="J226" s="78">
        <v>785.99</v>
      </c>
      <c r="K226" s="78">
        <v>6737874.0899999999</v>
      </c>
      <c r="L226" s="78">
        <v>554539.04</v>
      </c>
      <c r="M226" s="78">
        <v>786.1</v>
      </c>
      <c r="N226" s="78">
        <v>90.96</v>
      </c>
      <c r="O226" s="78"/>
      <c r="P226" s="78">
        <v>0</v>
      </c>
      <c r="Q226" s="78">
        <v>0</v>
      </c>
      <c r="R226" s="78">
        <v>0</v>
      </c>
      <c r="S226" s="79"/>
    </row>
    <row r="227" spans="2:19" ht="12" customHeight="1" x14ac:dyDescent="0.25">
      <c r="B227" s="78">
        <v>2110</v>
      </c>
      <c r="C227" s="78">
        <v>50.94</v>
      </c>
      <c r="D227" s="78">
        <v>100.24</v>
      </c>
      <c r="E227" s="78">
        <v>90.09</v>
      </c>
      <c r="F227" s="78">
        <v>90.96</v>
      </c>
      <c r="G227" s="78">
        <v>1756.13</v>
      </c>
      <c r="H227" s="78">
        <v>-1249.29</v>
      </c>
      <c r="I227" s="78">
        <v>-13.24</v>
      </c>
      <c r="J227" s="78">
        <v>793.75</v>
      </c>
      <c r="K227" s="78">
        <v>6737874.0800000001</v>
      </c>
      <c r="L227" s="78">
        <v>554546.80000000005</v>
      </c>
      <c r="M227" s="78">
        <v>793.86</v>
      </c>
      <c r="N227" s="78">
        <v>90.96</v>
      </c>
      <c r="O227" s="78"/>
      <c r="P227" s="78">
        <v>0</v>
      </c>
      <c r="Q227" s="78">
        <v>0</v>
      </c>
      <c r="R227" s="78">
        <v>0</v>
      </c>
      <c r="S227" s="79"/>
    </row>
    <row r="228" spans="2:19" ht="12" customHeight="1" x14ac:dyDescent="0.25">
      <c r="B228" s="78">
        <v>2120</v>
      </c>
      <c r="C228" s="78">
        <v>50.94</v>
      </c>
      <c r="D228" s="78">
        <v>100.24</v>
      </c>
      <c r="E228" s="78">
        <v>90.09</v>
      </c>
      <c r="F228" s="78">
        <v>90.96</v>
      </c>
      <c r="G228" s="78">
        <v>1762.43</v>
      </c>
      <c r="H228" s="78">
        <v>-1255.5899999999999</v>
      </c>
      <c r="I228" s="78">
        <v>-13.37</v>
      </c>
      <c r="J228" s="78">
        <v>801.51</v>
      </c>
      <c r="K228" s="78">
        <v>6737874.0700000003</v>
      </c>
      <c r="L228" s="78">
        <v>554554.56999999995</v>
      </c>
      <c r="M228" s="78">
        <v>801.63</v>
      </c>
      <c r="N228" s="78">
        <v>90.96</v>
      </c>
      <c r="O228" s="78"/>
      <c r="P228" s="78">
        <v>0</v>
      </c>
      <c r="Q228" s="78">
        <v>0</v>
      </c>
      <c r="R228" s="78">
        <v>0</v>
      </c>
      <c r="S228" s="79"/>
    </row>
    <row r="229" spans="2:19" ht="12" customHeight="1" x14ac:dyDescent="0.25">
      <c r="B229" s="78">
        <v>2120.77</v>
      </c>
      <c r="C229" s="78">
        <v>50.94</v>
      </c>
      <c r="D229" s="78">
        <v>100.24</v>
      </c>
      <c r="E229" s="78">
        <v>90.09</v>
      </c>
      <c r="F229" s="78">
        <v>90.96</v>
      </c>
      <c r="G229" s="78">
        <v>1762.92</v>
      </c>
      <c r="H229" s="78">
        <v>-1256.08</v>
      </c>
      <c r="I229" s="78">
        <v>-13.38</v>
      </c>
      <c r="J229" s="78">
        <v>802.12</v>
      </c>
      <c r="K229" s="78">
        <v>6737874.0700000003</v>
      </c>
      <c r="L229" s="78">
        <v>554555.17000000004</v>
      </c>
      <c r="M229" s="78">
        <v>802.23</v>
      </c>
      <c r="N229" s="78">
        <v>90.96</v>
      </c>
      <c r="O229" s="78"/>
      <c r="P229" s="78">
        <v>0</v>
      </c>
      <c r="Q229" s="78">
        <v>0</v>
      </c>
      <c r="R229" s="78">
        <v>0</v>
      </c>
      <c r="S229" s="79" t="s">
        <v>50</v>
      </c>
    </row>
    <row r="230" spans="2:19" ht="12" customHeight="1" x14ac:dyDescent="0.25">
      <c r="B230" s="78">
        <v>2130</v>
      </c>
      <c r="C230" s="78">
        <v>50.94</v>
      </c>
      <c r="D230" s="78">
        <v>100.24</v>
      </c>
      <c r="E230" s="78">
        <v>90.09</v>
      </c>
      <c r="F230" s="78">
        <v>90.96</v>
      </c>
      <c r="G230" s="78">
        <v>1768.73</v>
      </c>
      <c r="H230" s="78">
        <v>-1261.8900000000001</v>
      </c>
      <c r="I230" s="78">
        <v>-13.5</v>
      </c>
      <c r="J230" s="78">
        <v>809.28</v>
      </c>
      <c r="K230" s="78">
        <v>6737874.0499999998</v>
      </c>
      <c r="L230" s="78">
        <v>554562.32999999996</v>
      </c>
      <c r="M230" s="78">
        <v>809.39</v>
      </c>
      <c r="N230" s="78">
        <v>90.96</v>
      </c>
      <c r="O230" s="78"/>
      <c r="P230" s="78">
        <v>0</v>
      </c>
      <c r="Q230" s="78">
        <v>0</v>
      </c>
      <c r="R230" s="78">
        <v>0</v>
      </c>
      <c r="S230" s="79"/>
    </row>
    <row r="231" spans="2:19" ht="12" customHeight="1" x14ac:dyDescent="0.25">
      <c r="B231" s="78">
        <v>2140</v>
      </c>
      <c r="C231" s="78">
        <v>50.94</v>
      </c>
      <c r="D231" s="78">
        <v>100.24</v>
      </c>
      <c r="E231" s="78">
        <v>90.09</v>
      </c>
      <c r="F231" s="78">
        <v>90.96</v>
      </c>
      <c r="G231" s="78">
        <v>1775.03</v>
      </c>
      <c r="H231" s="78">
        <v>-1268.19</v>
      </c>
      <c r="I231" s="78">
        <v>-13.63</v>
      </c>
      <c r="J231" s="78">
        <v>817.04</v>
      </c>
      <c r="K231" s="78">
        <v>6737874.04</v>
      </c>
      <c r="L231" s="78">
        <v>554570.1</v>
      </c>
      <c r="M231" s="78">
        <v>817.16</v>
      </c>
      <c r="N231" s="78">
        <v>90.96</v>
      </c>
      <c r="O231" s="78"/>
      <c r="P231" s="78">
        <v>0</v>
      </c>
      <c r="Q231" s="78">
        <v>0</v>
      </c>
      <c r="R231" s="78">
        <v>0</v>
      </c>
      <c r="S231" s="79"/>
    </row>
    <row r="232" spans="2:19" ht="12" customHeight="1" x14ac:dyDescent="0.25">
      <c r="B232" s="78">
        <v>2150</v>
      </c>
      <c r="C232" s="78">
        <v>50.94</v>
      </c>
      <c r="D232" s="78">
        <v>100.24</v>
      </c>
      <c r="E232" s="78">
        <v>90.09</v>
      </c>
      <c r="F232" s="78">
        <v>90.96</v>
      </c>
      <c r="G232" s="78">
        <v>1781.33</v>
      </c>
      <c r="H232" s="78">
        <v>-1274.49</v>
      </c>
      <c r="I232" s="78">
        <v>-13.76</v>
      </c>
      <c r="J232" s="78">
        <v>824.81</v>
      </c>
      <c r="K232" s="78">
        <v>6737874.0300000003</v>
      </c>
      <c r="L232" s="78">
        <v>554577.86</v>
      </c>
      <c r="M232" s="78">
        <v>824.92</v>
      </c>
      <c r="N232" s="78">
        <v>90.96</v>
      </c>
      <c r="O232" s="78"/>
      <c r="P232" s="78">
        <v>0</v>
      </c>
      <c r="Q232" s="78">
        <v>0</v>
      </c>
      <c r="R232" s="78">
        <v>0</v>
      </c>
      <c r="S232" s="79"/>
    </row>
    <row r="233" spans="2:19" ht="12" customHeight="1" x14ac:dyDescent="0.25">
      <c r="B233" s="78">
        <v>2160</v>
      </c>
      <c r="C233" s="78">
        <v>50.94</v>
      </c>
      <c r="D233" s="78">
        <v>100.24</v>
      </c>
      <c r="E233" s="78">
        <v>90.09</v>
      </c>
      <c r="F233" s="78">
        <v>90.96</v>
      </c>
      <c r="G233" s="78">
        <v>1787.64</v>
      </c>
      <c r="H233" s="78">
        <v>-1280.8</v>
      </c>
      <c r="I233" s="78">
        <v>-13.89</v>
      </c>
      <c r="J233" s="78">
        <v>832.57</v>
      </c>
      <c r="K233" s="78">
        <v>6737874.0199999996</v>
      </c>
      <c r="L233" s="78">
        <v>554585.63</v>
      </c>
      <c r="M233" s="78">
        <v>832.69</v>
      </c>
      <c r="N233" s="78">
        <v>90.96</v>
      </c>
      <c r="O233" s="78"/>
      <c r="P233" s="78">
        <v>0</v>
      </c>
      <c r="Q233" s="78">
        <v>0</v>
      </c>
      <c r="R233" s="78">
        <v>0</v>
      </c>
      <c r="S233" s="79"/>
    </row>
    <row r="234" spans="2:19" ht="12" customHeight="1" x14ac:dyDescent="0.25">
      <c r="B234" s="78">
        <v>2170</v>
      </c>
      <c r="C234" s="78">
        <v>50.94</v>
      </c>
      <c r="D234" s="78">
        <v>100.24</v>
      </c>
      <c r="E234" s="78">
        <v>90.09</v>
      </c>
      <c r="F234" s="78">
        <v>90.96</v>
      </c>
      <c r="G234" s="78">
        <v>1793.94</v>
      </c>
      <c r="H234" s="78">
        <v>-1287.0999999999999</v>
      </c>
      <c r="I234" s="78">
        <v>-14.02</v>
      </c>
      <c r="J234" s="78">
        <v>840.34</v>
      </c>
      <c r="K234" s="78">
        <v>6737874</v>
      </c>
      <c r="L234" s="78">
        <v>554593.39</v>
      </c>
      <c r="M234" s="78">
        <v>840.45</v>
      </c>
      <c r="N234" s="78">
        <v>90.96</v>
      </c>
      <c r="O234" s="78"/>
      <c r="P234" s="78">
        <v>0</v>
      </c>
      <c r="Q234" s="78">
        <v>0</v>
      </c>
      <c r="R234" s="78">
        <v>0</v>
      </c>
      <c r="S234" s="79"/>
    </row>
    <row r="235" spans="2:19" ht="12" customHeight="1" x14ac:dyDescent="0.25">
      <c r="B235" s="78">
        <v>2180</v>
      </c>
      <c r="C235" s="78">
        <v>50.94</v>
      </c>
      <c r="D235" s="78">
        <v>100.24</v>
      </c>
      <c r="E235" s="78">
        <v>90.09</v>
      </c>
      <c r="F235" s="78">
        <v>90.96</v>
      </c>
      <c r="G235" s="78">
        <v>1800.24</v>
      </c>
      <c r="H235" s="78">
        <v>-1293.4000000000001</v>
      </c>
      <c r="I235" s="78">
        <v>-14.15</v>
      </c>
      <c r="J235" s="78">
        <v>848.1</v>
      </c>
      <c r="K235" s="78">
        <v>6737873.9900000002</v>
      </c>
      <c r="L235" s="78">
        <v>554601.16</v>
      </c>
      <c r="M235" s="78">
        <v>848.22</v>
      </c>
      <c r="N235" s="78">
        <v>90.96</v>
      </c>
      <c r="O235" s="78"/>
      <c r="P235" s="78">
        <v>0</v>
      </c>
      <c r="Q235" s="78">
        <v>0</v>
      </c>
      <c r="R235" s="78">
        <v>0</v>
      </c>
      <c r="S235" s="79"/>
    </row>
    <row r="236" spans="2:19" ht="12" customHeight="1" x14ac:dyDescent="0.25">
      <c r="B236" s="78">
        <v>2190</v>
      </c>
      <c r="C236" s="78">
        <v>50.94</v>
      </c>
      <c r="D236" s="78">
        <v>100.24</v>
      </c>
      <c r="E236" s="78">
        <v>90.09</v>
      </c>
      <c r="F236" s="78">
        <v>90.96</v>
      </c>
      <c r="G236" s="78">
        <v>1806.54</v>
      </c>
      <c r="H236" s="78">
        <v>-1299.7</v>
      </c>
      <c r="I236" s="78">
        <v>-14.28</v>
      </c>
      <c r="J236" s="78">
        <v>855.86</v>
      </c>
      <c r="K236" s="78">
        <v>6737873.9800000004</v>
      </c>
      <c r="L236" s="78">
        <v>554608.92000000004</v>
      </c>
      <c r="M236" s="78">
        <v>855.98</v>
      </c>
      <c r="N236" s="78">
        <v>90.96</v>
      </c>
      <c r="O236" s="78"/>
      <c r="P236" s="78">
        <v>0</v>
      </c>
      <c r="Q236" s="78">
        <v>0</v>
      </c>
      <c r="R236" s="78">
        <v>0</v>
      </c>
      <c r="S236" s="79"/>
    </row>
    <row r="237" spans="2:19" ht="12" customHeight="1" x14ac:dyDescent="0.25">
      <c r="B237" s="84">
        <v>2200</v>
      </c>
      <c r="C237" s="84">
        <v>50.94</v>
      </c>
      <c r="D237" s="84">
        <v>100.24</v>
      </c>
      <c r="E237" s="84">
        <v>90.09</v>
      </c>
      <c r="F237" s="84">
        <v>90.96</v>
      </c>
      <c r="G237" s="84">
        <v>1812.84</v>
      </c>
      <c r="H237" s="84">
        <v>-1306</v>
      </c>
      <c r="I237" s="84">
        <v>-14.41</v>
      </c>
      <c r="J237" s="84">
        <v>863.63</v>
      </c>
      <c r="K237" s="84">
        <v>6737873.96</v>
      </c>
      <c r="L237" s="84">
        <v>554616.68999999994</v>
      </c>
      <c r="M237" s="84">
        <v>863.75</v>
      </c>
      <c r="N237" s="84">
        <v>90.96</v>
      </c>
      <c r="O237" s="84"/>
      <c r="P237" s="84">
        <v>0</v>
      </c>
      <c r="Q237" s="84">
        <v>0</v>
      </c>
      <c r="R237" s="84">
        <v>0</v>
      </c>
      <c r="S237" s="85" t="s">
        <v>51</v>
      </c>
    </row>
    <row r="238" spans="2:19" ht="12" customHeight="1" x14ac:dyDescent="0.25">
      <c r="B238" s="78">
        <v>2210</v>
      </c>
      <c r="C238" s="78">
        <v>50.94</v>
      </c>
      <c r="D238" s="78">
        <v>100.24</v>
      </c>
      <c r="E238" s="78">
        <v>90.09</v>
      </c>
      <c r="F238" s="78">
        <v>90.96</v>
      </c>
      <c r="G238" s="78">
        <v>1819.14</v>
      </c>
      <c r="H238" s="78">
        <v>-1312.3</v>
      </c>
      <c r="I238" s="78">
        <v>-14.53</v>
      </c>
      <c r="J238" s="78">
        <v>871.39</v>
      </c>
      <c r="K238" s="78">
        <v>6737873.9500000002</v>
      </c>
      <c r="L238" s="78">
        <v>554624.44999999995</v>
      </c>
      <c r="M238" s="78">
        <v>871.51</v>
      </c>
      <c r="N238" s="78">
        <v>90.96</v>
      </c>
      <c r="O238" s="78"/>
      <c r="P238" s="78">
        <v>0</v>
      </c>
      <c r="Q238" s="78">
        <v>0</v>
      </c>
      <c r="R238" s="78">
        <v>0</v>
      </c>
      <c r="S238" s="79"/>
    </row>
    <row r="239" spans="2:19" ht="12" customHeight="1" x14ac:dyDescent="0.25">
      <c r="B239" s="78">
        <v>2220</v>
      </c>
      <c r="C239" s="78">
        <v>50.94</v>
      </c>
      <c r="D239" s="78">
        <v>100.24</v>
      </c>
      <c r="E239" s="78">
        <v>90.09</v>
      </c>
      <c r="F239" s="78">
        <v>90.96</v>
      </c>
      <c r="G239" s="78">
        <v>1825.44</v>
      </c>
      <c r="H239" s="78">
        <v>-1318.6</v>
      </c>
      <c r="I239" s="78">
        <v>-14.66</v>
      </c>
      <c r="J239" s="78">
        <v>879.16</v>
      </c>
      <c r="K239" s="78">
        <v>6737873.9400000004</v>
      </c>
      <c r="L239" s="78">
        <v>554632.22</v>
      </c>
      <c r="M239" s="78">
        <v>879.28</v>
      </c>
      <c r="N239" s="78">
        <v>90.96</v>
      </c>
      <c r="O239" s="78"/>
      <c r="P239" s="78">
        <v>0</v>
      </c>
      <c r="Q239" s="78">
        <v>0</v>
      </c>
      <c r="R239" s="78">
        <v>0</v>
      </c>
      <c r="S239" s="79"/>
    </row>
    <row r="240" spans="2:19" ht="12" customHeight="1" x14ac:dyDescent="0.25">
      <c r="B240" s="78">
        <v>2230</v>
      </c>
      <c r="C240" s="78">
        <v>50.94</v>
      </c>
      <c r="D240" s="78">
        <v>100.24</v>
      </c>
      <c r="E240" s="78">
        <v>90.09</v>
      </c>
      <c r="F240" s="78">
        <v>90.96</v>
      </c>
      <c r="G240" s="78">
        <v>1831.74</v>
      </c>
      <c r="H240" s="78">
        <v>-1324.9</v>
      </c>
      <c r="I240" s="78">
        <v>-14.79</v>
      </c>
      <c r="J240" s="78">
        <v>886.92</v>
      </c>
      <c r="K240" s="78">
        <v>6737873.9299999997</v>
      </c>
      <c r="L240" s="78">
        <v>554639.98</v>
      </c>
      <c r="M240" s="78">
        <v>887.04</v>
      </c>
      <c r="N240" s="78">
        <v>90.96</v>
      </c>
      <c r="O240" s="78"/>
      <c r="P240" s="78">
        <v>0</v>
      </c>
      <c r="Q240" s="78">
        <v>0</v>
      </c>
      <c r="R240" s="78">
        <v>0</v>
      </c>
      <c r="S240" s="79"/>
    </row>
    <row r="241" spans="2:19" ht="12" customHeight="1" x14ac:dyDescent="0.25">
      <c r="B241" s="78">
        <v>2240</v>
      </c>
      <c r="C241" s="78">
        <v>50.94</v>
      </c>
      <c r="D241" s="78">
        <v>100.24</v>
      </c>
      <c r="E241" s="78">
        <v>90.09</v>
      </c>
      <c r="F241" s="78">
        <v>90.96</v>
      </c>
      <c r="G241" s="78">
        <v>1838.04</v>
      </c>
      <c r="H241" s="78">
        <v>-1331.2</v>
      </c>
      <c r="I241" s="78">
        <v>-14.92</v>
      </c>
      <c r="J241" s="78">
        <v>894.68</v>
      </c>
      <c r="K241" s="78">
        <v>6737873.9100000001</v>
      </c>
      <c r="L241" s="78">
        <v>554647.75</v>
      </c>
      <c r="M241" s="78">
        <v>894.81</v>
      </c>
      <c r="N241" s="78">
        <v>90.96</v>
      </c>
      <c r="O241" s="78"/>
      <c r="P241" s="78">
        <v>0</v>
      </c>
      <c r="Q241" s="78">
        <v>0</v>
      </c>
      <c r="R241" s="78">
        <v>0</v>
      </c>
      <c r="S241" s="79"/>
    </row>
    <row r="242" spans="2:19" ht="12" customHeight="1" x14ac:dyDescent="0.25">
      <c r="B242" s="78">
        <v>2243.09</v>
      </c>
      <c r="C242" s="78">
        <v>50.94</v>
      </c>
      <c r="D242" s="78">
        <v>100.24</v>
      </c>
      <c r="E242" s="78">
        <v>90.09</v>
      </c>
      <c r="F242" s="78">
        <v>90.96</v>
      </c>
      <c r="G242" s="78">
        <v>1839.99</v>
      </c>
      <c r="H242" s="78">
        <v>-1333.15</v>
      </c>
      <c r="I242" s="78">
        <v>-14.96</v>
      </c>
      <c r="J242" s="78">
        <v>897.08</v>
      </c>
      <c r="K242" s="78">
        <v>6737873.9100000001</v>
      </c>
      <c r="L242" s="78">
        <v>554650.14</v>
      </c>
      <c r="M242" s="78">
        <v>897.2</v>
      </c>
      <c r="N242" s="78">
        <v>90.96</v>
      </c>
      <c r="O242" s="78"/>
      <c r="P242" s="78">
        <v>0</v>
      </c>
      <c r="Q242" s="78">
        <v>0</v>
      </c>
      <c r="R242" s="78">
        <v>0</v>
      </c>
      <c r="S242" s="79"/>
    </row>
    <row r="243" spans="2:19" ht="12" customHeight="1" x14ac:dyDescent="0.25">
      <c r="B243" s="78">
        <v>2250</v>
      </c>
      <c r="C243" s="78">
        <v>51.98</v>
      </c>
      <c r="D243" s="78">
        <v>100.24</v>
      </c>
      <c r="E243" s="78">
        <v>90.09</v>
      </c>
      <c r="F243" s="78">
        <v>90.96</v>
      </c>
      <c r="G243" s="78">
        <v>1844.3</v>
      </c>
      <c r="H243" s="78">
        <v>-1337.46</v>
      </c>
      <c r="I243" s="78">
        <v>-15.05</v>
      </c>
      <c r="J243" s="78">
        <v>902.49</v>
      </c>
      <c r="K243" s="78">
        <v>6737873.9000000004</v>
      </c>
      <c r="L243" s="78">
        <v>554655.55000000005</v>
      </c>
      <c r="M243" s="78">
        <v>902.61</v>
      </c>
      <c r="N243" s="78">
        <v>90.96</v>
      </c>
      <c r="O243" s="78"/>
      <c r="P243" s="78">
        <v>1.5</v>
      </c>
      <c r="Q243" s="78">
        <v>0</v>
      </c>
      <c r="R243" s="78">
        <v>1.5</v>
      </c>
      <c r="S243" s="79"/>
    </row>
    <row r="244" spans="2:19" ht="12" customHeight="1" x14ac:dyDescent="0.25">
      <c r="B244" s="78">
        <v>2260</v>
      </c>
      <c r="C244" s="78">
        <v>53.48</v>
      </c>
      <c r="D244" s="78">
        <v>100.24</v>
      </c>
      <c r="E244" s="78">
        <v>90.09</v>
      </c>
      <c r="F244" s="78">
        <v>90.96</v>
      </c>
      <c r="G244" s="78">
        <v>1850.35</v>
      </c>
      <c r="H244" s="78">
        <v>-1343.51</v>
      </c>
      <c r="I244" s="78">
        <v>-15.19</v>
      </c>
      <c r="J244" s="78">
        <v>910.44</v>
      </c>
      <c r="K244" s="78">
        <v>6737873.8899999997</v>
      </c>
      <c r="L244" s="78">
        <v>554663.51</v>
      </c>
      <c r="M244" s="78">
        <v>910.57</v>
      </c>
      <c r="N244" s="78">
        <v>90.96</v>
      </c>
      <c r="O244" s="78"/>
      <c r="P244" s="78">
        <v>1.5</v>
      </c>
      <c r="Q244" s="78">
        <v>0</v>
      </c>
      <c r="R244" s="78">
        <v>1.5</v>
      </c>
      <c r="S244" s="79"/>
    </row>
    <row r="245" spans="2:19" ht="12" customHeight="1" x14ac:dyDescent="0.25">
      <c r="B245" s="78">
        <v>2270</v>
      </c>
      <c r="C245" s="78">
        <v>54.98</v>
      </c>
      <c r="D245" s="78">
        <v>100.24</v>
      </c>
      <c r="E245" s="78">
        <v>90.09</v>
      </c>
      <c r="F245" s="78">
        <v>90.96</v>
      </c>
      <c r="G245" s="78">
        <v>1856.2</v>
      </c>
      <c r="H245" s="78">
        <v>-1349.36</v>
      </c>
      <c r="I245" s="78">
        <v>-15.32</v>
      </c>
      <c r="J245" s="78">
        <v>918.56</v>
      </c>
      <c r="K245" s="78">
        <v>6737873.8700000001</v>
      </c>
      <c r="L245" s="78">
        <v>554671.62</v>
      </c>
      <c r="M245" s="78">
        <v>918.68</v>
      </c>
      <c r="N245" s="78">
        <v>90.96</v>
      </c>
      <c r="O245" s="78"/>
      <c r="P245" s="78">
        <v>1.5</v>
      </c>
      <c r="Q245" s="78">
        <v>0</v>
      </c>
      <c r="R245" s="78">
        <v>1.5</v>
      </c>
      <c r="S245" s="79"/>
    </row>
    <row r="246" spans="2:19" ht="12" customHeight="1" x14ac:dyDescent="0.25">
      <c r="B246" s="78">
        <v>2280</v>
      </c>
      <c r="C246" s="78">
        <v>56.48</v>
      </c>
      <c r="D246" s="78">
        <v>100.24</v>
      </c>
      <c r="E246" s="78">
        <v>90.09</v>
      </c>
      <c r="F246" s="78">
        <v>90.96</v>
      </c>
      <c r="G246" s="78">
        <v>1861.83</v>
      </c>
      <c r="H246" s="78">
        <v>-1354.99</v>
      </c>
      <c r="I246" s="78">
        <v>-15.46</v>
      </c>
      <c r="J246" s="78">
        <v>926.82</v>
      </c>
      <c r="K246" s="78">
        <v>6737873.8600000003</v>
      </c>
      <c r="L246" s="78">
        <v>554679.89</v>
      </c>
      <c r="M246" s="78">
        <v>926.95</v>
      </c>
      <c r="N246" s="78">
        <v>90.96</v>
      </c>
      <c r="O246" s="78"/>
      <c r="P246" s="78">
        <v>1.5</v>
      </c>
      <c r="Q246" s="78">
        <v>0</v>
      </c>
      <c r="R246" s="78">
        <v>1.5</v>
      </c>
      <c r="S246" s="79"/>
    </row>
    <row r="247" spans="2:19" ht="12" customHeight="1" x14ac:dyDescent="0.25">
      <c r="B247" s="78">
        <v>2290</v>
      </c>
      <c r="C247" s="78">
        <v>57.98</v>
      </c>
      <c r="D247" s="78">
        <v>100.24</v>
      </c>
      <c r="E247" s="78">
        <v>90.1</v>
      </c>
      <c r="F247" s="78">
        <v>90.96</v>
      </c>
      <c r="G247" s="78">
        <v>1867.24</v>
      </c>
      <c r="H247" s="78">
        <v>-1360.4</v>
      </c>
      <c r="I247" s="78">
        <v>-15.6</v>
      </c>
      <c r="J247" s="78">
        <v>935.23</v>
      </c>
      <c r="K247" s="78">
        <v>6737873.8499999996</v>
      </c>
      <c r="L247" s="78">
        <v>554688.29</v>
      </c>
      <c r="M247" s="78">
        <v>935.36</v>
      </c>
      <c r="N247" s="78">
        <v>90.96</v>
      </c>
      <c r="O247" s="78"/>
      <c r="P247" s="78">
        <v>1.5</v>
      </c>
      <c r="Q247" s="78">
        <v>0</v>
      </c>
      <c r="R247" s="78">
        <v>1.5</v>
      </c>
      <c r="S247" s="79"/>
    </row>
    <row r="248" spans="2:19" ht="12" customHeight="1" x14ac:dyDescent="0.25">
      <c r="B248" s="78">
        <v>2300</v>
      </c>
      <c r="C248" s="78">
        <v>59.48</v>
      </c>
      <c r="D248" s="78">
        <v>100.24</v>
      </c>
      <c r="E248" s="78">
        <v>90.1</v>
      </c>
      <c r="F248" s="78">
        <v>90.96</v>
      </c>
      <c r="G248" s="78">
        <v>1872.43</v>
      </c>
      <c r="H248" s="78">
        <v>-1365.59</v>
      </c>
      <c r="I248" s="78">
        <v>-15.74</v>
      </c>
      <c r="J248" s="78">
        <v>943.77</v>
      </c>
      <c r="K248" s="78">
        <v>6737873.8300000001</v>
      </c>
      <c r="L248" s="78">
        <v>554696.84</v>
      </c>
      <c r="M248" s="78">
        <v>943.9</v>
      </c>
      <c r="N248" s="78">
        <v>90.96</v>
      </c>
      <c r="O248" s="78"/>
      <c r="P248" s="78">
        <v>1.5</v>
      </c>
      <c r="Q248" s="78">
        <v>0</v>
      </c>
      <c r="R248" s="78">
        <v>1.5</v>
      </c>
      <c r="S248" s="79"/>
    </row>
    <row r="249" spans="2:19" ht="12" customHeight="1" x14ac:dyDescent="0.25">
      <c r="B249" s="78">
        <v>2310</v>
      </c>
      <c r="C249" s="78">
        <v>60.98</v>
      </c>
      <c r="D249" s="78">
        <v>100.24</v>
      </c>
      <c r="E249" s="78">
        <v>90.1</v>
      </c>
      <c r="F249" s="78">
        <v>90.96</v>
      </c>
      <c r="G249" s="78">
        <v>1877.4</v>
      </c>
      <c r="H249" s="78">
        <v>-1370.56</v>
      </c>
      <c r="I249" s="78">
        <v>-15.89</v>
      </c>
      <c r="J249" s="78">
        <v>952.45</v>
      </c>
      <c r="K249" s="78">
        <v>6737873.8200000003</v>
      </c>
      <c r="L249" s="78">
        <v>554705.52</v>
      </c>
      <c r="M249" s="78">
        <v>952.58</v>
      </c>
      <c r="N249" s="78">
        <v>90.96</v>
      </c>
      <c r="O249" s="78"/>
      <c r="P249" s="78">
        <v>1.5</v>
      </c>
      <c r="Q249" s="78">
        <v>0</v>
      </c>
      <c r="R249" s="78">
        <v>1.5</v>
      </c>
      <c r="S249" s="79"/>
    </row>
    <row r="250" spans="2:19" ht="12" customHeight="1" x14ac:dyDescent="0.25">
      <c r="B250" s="82">
        <v>2320</v>
      </c>
      <c r="C250" s="82">
        <v>62.48</v>
      </c>
      <c r="D250" s="82">
        <v>100.24</v>
      </c>
      <c r="E250" s="82">
        <v>90.1</v>
      </c>
      <c r="F250" s="82">
        <v>90.96</v>
      </c>
      <c r="G250" s="82">
        <v>1882.13</v>
      </c>
      <c r="H250" s="82">
        <v>-1375.29</v>
      </c>
      <c r="I250" s="82">
        <v>-16.03</v>
      </c>
      <c r="J250" s="82">
        <v>961.26</v>
      </c>
      <c r="K250" s="82">
        <v>6737873.7999999998</v>
      </c>
      <c r="L250" s="82">
        <v>554714.32999999996</v>
      </c>
      <c r="M250" s="82">
        <v>961.39</v>
      </c>
      <c r="N250" s="82">
        <v>90.96</v>
      </c>
      <c r="O250" s="82"/>
      <c r="P250" s="82">
        <v>1.5</v>
      </c>
      <c r="Q250" s="82">
        <v>0</v>
      </c>
      <c r="R250" s="82">
        <v>1.5</v>
      </c>
      <c r="S250" s="83"/>
    </row>
    <row r="251" spans="2:19" ht="12" customHeight="1" x14ac:dyDescent="0.25">
      <c r="B251" s="78">
        <v>2330</v>
      </c>
      <c r="C251" s="78">
        <v>63.98</v>
      </c>
      <c r="D251" s="78">
        <v>100.24</v>
      </c>
      <c r="E251" s="78">
        <v>90.1</v>
      </c>
      <c r="F251" s="78">
        <v>90.96</v>
      </c>
      <c r="G251" s="78">
        <v>1886.64</v>
      </c>
      <c r="H251" s="78">
        <v>-1379.8</v>
      </c>
      <c r="I251" s="78">
        <v>-16.18</v>
      </c>
      <c r="J251" s="78">
        <v>970.18</v>
      </c>
      <c r="K251" s="78">
        <v>6737873.79</v>
      </c>
      <c r="L251" s="78">
        <v>554723.26</v>
      </c>
      <c r="M251" s="78">
        <v>970.32</v>
      </c>
      <c r="N251" s="78">
        <v>90.96</v>
      </c>
      <c r="O251" s="78"/>
      <c r="P251" s="78">
        <v>1.5</v>
      </c>
      <c r="Q251" s="78">
        <v>0</v>
      </c>
      <c r="R251" s="78">
        <v>1.5</v>
      </c>
      <c r="S251" s="79"/>
    </row>
    <row r="252" spans="2:19" ht="12" customHeight="1" x14ac:dyDescent="0.25">
      <c r="B252" s="78">
        <v>2340</v>
      </c>
      <c r="C252" s="78">
        <v>65.48</v>
      </c>
      <c r="D252" s="78">
        <v>100.24</v>
      </c>
      <c r="E252" s="78">
        <v>90.1</v>
      </c>
      <c r="F252" s="78">
        <v>90.96</v>
      </c>
      <c r="G252" s="78">
        <v>1890.9</v>
      </c>
      <c r="H252" s="78">
        <v>-1384.06</v>
      </c>
      <c r="I252" s="78">
        <v>-16.329999999999998</v>
      </c>
      <c r="J252" s="78">
        <v>979.22</v>
      </c>
      <c r="K252" s="78">
        <v>6737873.7699999996</v>
      </c>
      <c r="L252" s="78">
        <v>554732.30000000005</v>
      </c>
      <c r="M252" s="78">
        <v>979.36</v>
      </c>
      <c r="N252" s="78">
        <v>90.96</v>
      </c>
      <c r="O252" s="78"/>
      <c r="P252" s="78">
        <v>1.5</v>
      </c>
      <c r="Q252" s="78">
        <v>0</v>
      </c>
      <c r="R252" s="78">
        <v>1.5</v>
      </c>
      <c r="S252" s="79"/>
    </row>
    <row r="253" spans="2:19" ht="12" customHeight="1" x14ac:dyDescent="0.25">
      <c r="B253" s="78">
        <v>2350</v>
      </c>
      <c r="C253" s="78">
        <v>66.98</v>
      </c>
      <c r="D253" s="78">
        <v>100.24</v>
      </c>
      <c r="E253" s="78">
        <v>90.1</v>
      </c>
      <c r="F253" s="78">
        <v>90.96</v>
      </c>
      <c r="G253" s="78">
        <v>1894.93</v>
      </c>
      <c r="H253" s="78">
        <v>-1388.09</v>
      </c>
      <c r="I253" s="78">
        <v>-16.489999999999998</v>
      </c>
      <c r="J253" s="78">
        <v>988.37</v>
      </c>
      <c r="K253" s="78">
        <v>6737873.7599999998</v>
      </c>
      <c r="L253" s="78">
        <v>554741.44999999995</v>
      </c>
      <c r="M253" s="78">
        <v>988.51</v>
      </c>
      <c r="N253" s="78">
        <v>90.96</v>
      </c>
      <c r="O253" s="78"/>
      <c r="P253" s="78">
        <v>1.5</v>
      </c>
      <c r="Q253" s="78">
        <v>0</v>
      </c>
      <c r="R253" s="78">
        <v>1.5</v>
      </c>
      <c r="S253" s="79"/>
    </row>
    <row r="254" spans="2:19" ht="12" customHeight="1" x14ac:dyDescent="0.25">
      <c r="B254" s="78">
        <v>2360</v>
      </c>
      <c r="C254" s="78">
        <v>68.48</v>
      </c>
      <c r="D254" s="78">
        <v>100.24</v>
      </c>
      <c r="E254" s="78">
        <v>90.1</v>
      </c>
      <c r="F254" s="78">
        <v>90.96</v>
      </c>
      <c r="G254" s="78">
        <v>1898.72</v>
      </c>
      <c r="H254" s="78">
        <v>-1391.88</v>
      </c>
      <c r="I254" s="78">
        <v>-16.64</v>
      </c>
      <c r="J254" s="78">
        <v>997.63</v>
      </c>
      <c r="K254" s="78">
        <v>6737873.7400000002</v>
      </c>
      <c r="L254" s="78">
        <v>554750.69999999995</v>
      </c>
      <c r="M254" s="78">
        <v>997.77</v>
      </c>
      <c r="N254" s="78">
        <v>90.96</v>
      </c>
      <c r="O254" s="78"/>
      <c r="P254" s="78">
        <v>1.5</v>
      </c>
      <c r="Q254" s="78">
        <v>0</v>
      </c>
      <c r="R254" s="78">
        <v>1.5</v>
      </c>
      <c r="S254" s="79"/>
    </row>
    <row r="255" spans="2:19" ht="12" customHeight="1" x14ac:dyDescent="0.25">
      <c r="B255" s="78">
        <v>2370</v>
      </c>
      <c r="C255" s="78">
        <v>69.98</v>
      </c>
      <c r="D255" s="78">
        <v>100.24</v>
      </c>
      <c r="E255" s="78">
        <v>90.1</v>
      </c>
      <c r="F255" s="78">
        <v>90.96</v>
      </c>
      <c r="G255" s="78">
        <v>1902.27</v>
      </c>
      <c r="H255" s="78">
        <v>-1395.43</v>
      </c>
      <c r="I255" s="78">
        <v>-16.8</v>
      </c>
      <c r="J255" s="78">
        <v>1006.98</v>
      </c>
      <c r="K255" s="78">
        <v>6737873.7300000004</v>
      </c>
      <c r="L255" s="78">
        <v>554760.05000000005</v>
      </c>
      <c r="M255" s="78">
        <v>1007.12</v>
      </c>
      <c r="N255" s="78">
        <v>90.96</v>
      </c>
      <c r="O255" s="78"/>
      <c r="P255" s="78">
        <v>1.5</v>
      </c>
      <c r="Q255" s="78">
        <v>0</v>
      </c>
      <c r="R255" s="78">
        <v>1.5</v>
      </c>
      <c r="S255" s="79"/>
    </row>
    <row r="256" spans="2:19" ht="12" customHeight="1" x14ac:dyDescent="0.25">
      <c r="B256" s="78">
        <v>2380</v>
      </c>
      <c r="C256" s="78">
        <v>71.48</v>
      </c>
      <c r="D256" s="78">
        <v>100.24</v>
      </c>
      <c r="E256" s="78">
        <v>90.1</v>
      </c>
      <c r="F256" s="78">
        <v>90.96</v>
      </c>
      <c r="G256" s="78">
        <v>1905.57</v>
      </c>
      <c r="H256" s="78">
        <v>-1398.73</v>
      </c>
      <c r="I256" s="78">
        <v>-16.95</v>
      </c>
      <c r="J256" s="78">
        <v>1016.41</v>
      </c>
      <c r="K256" s="78">
        <v>6737873.71</v>
      </c>
      <c r="L256" s="78">
        <v>554769.49</v>
      </c>
      <c r="M256" s="78">
        <v>1016.56</v>
      </c>
      <c r="N256" s="78">
        <v>90.96</v>
      </c>
      <c r="O256" s="78"/>
      <c r="P256" s="78">
        <v>1.5</v>
      </c>
      <c r="Q256" s="78">
        <v>0</v>
      </c>
      <c r="R256" s="78">
        <v>1.5</v>
      </c>
      <c r="S256" s="79"/>
    </row>
    <row r="257" spans="2:19" ht="12" customHeight="1" x14ac:dyDescent="0.25">
      <c r="B257" s="78">
        <v>2390</v>
      </c>
      <c r="C257" s="78">
        <v>72.98</v>
      </c>
      <c r="D257" s="78">
        <v>100.24</v>
      </c>
      <c r="E257" s="78">
        <v>90.1</v>
      </c>
      <c r="F257" s="78">
        <v>90.96</v>
      </c>
      <c r="G257" s="78">
        <v>1908.62</v>
      </c>
      <c r="H257" s="78">
        <v>-1401.78</v>
      </c>
      <c r="I257" s="78">
        <v>-17.11</v>
      </c>
      <c r="J257" s="78">
        <v>1025.94</v>
      </c>
      <c r="K257" s="78">
        <v>6737873.6900000004</v>
      </c>
      <c r="L257" s="78">
        <v>554779.02</v>
      </c>
      <c r="M257" s="78">
        <v>1026.08</v>
      </c>
      <c r="N257" s="78">
        <v>90.96</v>
      </c>
      <c r="O257" s="78"/>
      <c r="P257" s="78">
        <v>1.5</v>
      </c>
      <c r="Q257" s="78">
        <v>0</v>
      </c>
      <c r="R257" s="78">
        <v>1.5</v>
      </c>
      <c r="S257" s="79"/>
    </row>
    <row r="258" spans="2:19" ht="12" customHeight="1" x14ac:dyDescent="0.25">
      <c r="B258" s="78">
        <v>2400</v>
      </c>
      <c r="C258" s="78">
        <v>74.48</v>
      </c>
      <c r="D258" s="78">
        <v>100.24</v>
      </c>
      <c r="E258" s="78">
        <v>90.1</v>
      </c>
      <c r="F258" s="78">
        <v>90.96</v>
      </c>
      <c r="G258" s="78">
        <v>1911.42</v>
      </c>
      <c r="H258" s="78">
        <v>-1404.58</v>
      </c>
      <c r="I258" s="78">
        <v>-17.27</v>
      </c>
      <c r="J258" s="78">
        <v>1035.53</v>
      </c>
      <c r="K258" s="78">
        <v>6737873.6799999997</v>
      </c>
      <c r="L258" s="78">
        <v>554788.62</v>
      </c>
      <c r="M258" s="78">
        <v>1035.68</v>
      </c>
      <c r="N258" s="78">
        <v>90.96</v>
      </c>
      <c r="O258" s="78"/>
      <c r="P258" s="78">
        <v>1.5</v>
      </c>
      <c r="Q258" s="78">
        <v>0</v>
      </c>
      <c r="R258" s="78">
        <v>1.5</v>
      </c>
      <c r="S258" s="79"/>
    </row>
    <row r="259" spans="2:19" ht="12" customHeight="1" x14ac:dyDescent="0.25">
      <c r="B259" s="78">
        <v>2410</v>
      </c>
      <c r="C259" s="78">
        <v>75.98</v>
      </c>
      <c r="D259" s="78">
        <v>100.24</v>
      </c>
      <c r="E259" s="78">
        <v>90.1</v>
      </c>
      <c r="F259" s="78">
        <v>90.96</v>
      </c>
      <c r="G259" s="78">
        <v>1913.97</v>
      </c>
      <c r="H259" s="78">
        <v>-1407.13</v>
      </c>
      <c r="I259" s="78">
        <v>-17.440000000000001</v>
      </c>
      <c r="J259" s="78">
        <v>1045.2</v>
      </c>
      <c r="K259" s="78">
        <v>6737873.6600000001</v>
      </c>
      <c r="L259" s="78">
        <v>554798.28</v>
      </c>
      <c r="M259" s="78">
        <v>1045.3499999999999</v>
      </c>
      <c r="N259" s="78">
        <v>90.96</v>
      </c>
      <c r="O259" s="78"/>
      <c r="P259" s="78">
        <v>1.5</v>
      </c>
      <c r="Q259" s="78">
        <v>0</v>
      </c>
      <c r="R259" s="78">
        <v>1.5</v>
      </c>
      <c r="S259" s="79"/>
    </row>
    <row r="260" spans="2:19" ht="12" customHeight="1" x14ac:dyDescent="0.25">
      <c r="B260" s="78">
        <v>2420</v>
      </c>
      <c r="C260" s="78">
        <v>77.48</v>
      </c>
      <c r="D260" s="78">
        <v>100.24</v>
      </c>
      <c r="E260" s="78">
        <v>90.1</v>
      </c>
      <c r="F260" s="78">
        <v>90.96</v>
      </c>
      <c r="G260" s="78">
        <v>1916.27</v>
      </c>
      <c r="H260" s="78">
        <v>-1409.43</v>
      </c>
      <c r="I260" s="78">
        <v>-17.600000000000001</v>
      </c>
      <c r="J260" s="78">
        <v>1054.93</v>
      </c>
      <c r="K260" s="78">
        <v>6737873.6500000004</v>
      </c>
      <c r="L260" s="78">
        <v>554808.02</v>
      </c>
      <c r="M260" s="78">
        <v>1055.08</v>
      </c>
      <c r="N260" s="78">
        <v>90.96</v>
      </c>
      <c r="O260" s="78"/>
      <c r="P260" s="78">
        <v>1.5</v>
      </c>
      <c r="Q260" s="78">
        <v>0</v>
      </c>
      <c r="R260" s="78">
        <v>1.5</v>
      </c>
      <c r="S260" s="79"/>
    </row>
    <row r="261" spans="2:19" ht="12" customHeight="1" x14ac:dyDescent="0.25">
      <c r="B261" s="78">
        <v>2430</v>
      </c>
      <c r="C261" s="78">
        <v>78.98</v>
      </c>
      <c r="D261" s="78">
        <v>100.24</v>
      </c>
      <c r="E261" s="78">
        <v>90.1</v>
      </c>
      <c r="F261" s="78">
        <v>90.96</v>
      </c>
      <c r="G261" s="78">
        <v>1918.31</v>
      </c>
      <c r="H261" s="78">
        <v>-1411.47</v>
      </c>
      <c r="I261" s="78">
        <v>-17.760000000000002</v>
      </c>
      <c r="J261" s="78">
        <v>1064.72</v>
      </c>
      <c r="K261" s="78">
        <v>6737873.6299999999</v>
      </c>
      <c r="L261" s="78">
        <v>554817.81000000006</v>
      </c>
      <c r="M261" s="78">
        <v>1064.8699999999999</v>
      </c>
      <c r="N261" s="78">
        <v>90.96</v>
      </c>
      <c r="O261" s="78"/>
      <c r="P261" s="78">
        <v>1.5</v>
      </c>
      <c r="Q261" s="78">
        <v>0</v>
      </c>
      <c r="R261" s="78">
        <v>1.5</v>
      </c>
      <c r="S261" s="79"/>
    </row>
    <row r="262" spans="2:19" ht="12" customHeight="1" x14ac:dyDescent="0.25">
      <c r="B262" s="78">
        <v>2436.8000000000002</v>
      </c>
      <c r="C262" s="78">
        <v>80</v>
      </c>
      <c r="D262" s="78">
        <v>100.24</v>
      </c>
      <c r="E262" s="78">
        <v>90.1</v>
      </c>
      <c r="F262" s="78">
        <v>90.96</v>
      </c>
      <c r="G262" s="78">
        <v>1919.55</v>
      </c>
      <c r="H262" s="78">
        <v>-1412.71</v>
      </c>
      <c r="I262" s="78">
        <v>-17.87</v>
      </c>
      <c r="J262" s="78">
        <v>1071.4000000000001</v>
      </c>
      <c r="K262" s="78">
        <v>6737873.6200000001</v>
      </c>
      <c r="L262" s="78">
        <v>554824.49</v>
      </c>
      <c r="M262" s="78">
        <v>1071.55</v>
      </c>
      <c r="N262" s="78">
        <v>90.96</v>
      </c>
      <c r="O262" s="78"/>
      <c r="P262" s="78">
        <v>1.5</v>
      </c>
      <c r="Q262" s="78">
        <v>0</v>
      </c>
      <c r="R262" s="78">
        <v>1.5</v>
      </c>
      <c r="S262" s="79"/>
    </row>
    <row r="263" spans="2:19" ht="12" customHeight="1" x14ac:dyDescent="0.25">
      <c r="B263" s="78">
        <v>2440</v>
      </c>
      <c r="C263" s="78">
        <v>80</v>
      </c>
      <c r="D263" s="78">
        <v>100.24</v>
      </c>
      <c r="E263" s="78">
        <v>90.1</v>
      </c>
      <c r="F263" s="78">
        <v>90.96</v>
      </c>
      <c r="G263" s="78">
        <v>1920.1</v>
      </c>
      <c r="H263" s="78">
        <v>-1413.26</v>
      </c>
      <c r="I263" s="78">
        <v>-17.93</v>
      </c>
      <c r="J263" s="78">
        <v>1074.56</v>
      </c>
      <c r="K263" s="78">
        <v>6737873.6100000003</v>
      </c>
      <c r="L263" s="78">
        <v>554827.64</v>
      </c>
      <c r="M263" s="78">
        <v>1074.71</v>
      </c>
      <c r="N263" s="78">
        <v>90.96</v>
      </c>
      <c r="O263" s="78"/>
      <c r="P263" s="78">
        <v>0</v>
      </c>
      <c r="Q263" s="78">
        <v>0</v>
      </c>
      <c r="R263" s="78">
        <v>0</v>
      </c>
      <c r="S263" s="79"/>
    </row>
    <row r="264" spans="2:19" ht="12" customHeight="1" x14ac:dyDescent="0.25">
      <c r="B264" s="86">
        <v>2450</v>
      </c>
      <c r="C264" s="86">
        <v>80</v>
      </c>
      <c r="D264" s="86">
        <v>100.24</v>
      </c>
      <c r="E264" s="86">
        <v>90.1</v>
      </c>
      <c r="F264" s="86">
        <v>90.96</v>
      </c>
      <c r="G264" s="86">
        <v>1921.84</v>
      </c>
      <c r="H264" s="86">
        <v>-1415</v>
      </c>
      <c r="I264" s="86">
        <v>-18.09</v>
      </c>
      <c r="J264" s="86">
        <v>1084.4000000000001</v>
      </c>
      <c r="K264" s="86">
        <v>6737873.5999999996</v>
      </c>
      <c r="L264" s="86">
        <v>554837.49</v>
      </c>
      <c r="M264" s="86">
        <v>1084.55</v>
      </c>
      <c r="N264" s="86">
        <v>90.96</v>
      </c>
      <c r="O264" s="86"/>
      <c r="P264" s="86">
        <v>0</v>
      </c>
      <c r="Q264" s="86">
        <v>0</v>
      </c>
      <c r="R264" s="86">
        <v>0</v>
      </c>
      <c r="S264" s="87" t="s">
        <v>52</v>
      </c>
    </row>
    <row r="265" spans="2:19" ht="12" customHeight="1" x14ac:dyDescent="0.25">
      <c r="B265" s="88">
        <v>2450</v>
      </c>
      <c r="C265" s="88">
        <v>80</v>
      </c>
      <c r="D265" s="88">
        <v>100.24</v>
      </c>
      <c r="E265" s="88">
        <v>90.1</v>
      </c>
      <c r="F265" s="88">
        <v>90.96</v>
      </c>
      <c r="G265" s="88">
        <v>1921.84</v>
      </c>
      <c r="H265" s="88">
        <v>-1415</v>
      </c>
      <c r="I265" s="88">
        <v>-18.09</v>
      </c>
      <c r="J265" s="88">
        <v>1084.4000000000001</v>
      </c>
      <c r="K265" s="88">
        <v>6737873.5999999996</v>
      </c>
      <c r="L265" s="88">
        <v>554837.49</v>
      </c>
      <c r="M265" s="88">
        <v>1084.55</v>
      </c>
      <c r="N265" s="88">
        <v>90.96</v>
      </c>
      <c r="O265" s="88"/>
      <c r="P265" s="88">
        <v>0</v>
      </c>
      <c r="Q265" s="88">
        <v>0</v>
      </c>
      <c r="R265" s="88">
        <v>0</v>
      </c>
      <c r="S265" s="89"/>
    </row>
    <row r="266" spans="2:19" ht="12" customHeight="1" x14ac:dyDescent="0.25">
      <c r="B266" s="88">
        <v>2452.85</v>
      </c>
      <c r="C266" s="88">
        <v>80</v>
      </c>
      <c r="D266" s="88">
        <v>100.24</v>
      </c>
      <c r="E266" s="88">
        <v>90.1</v>
      </c>
      <c r="F266" s="88">
        <v>90.96</v>
      </c>
      <c r="G266" s="88">
        <v>1922.33</v>
      </c>
      <c r="H266" s="88">
        <v>-1415.49</v>
      </c>
      <c r="I266" s="88">
        <v>-18.14</v>
      </c>
      <c r="J266" s="88">
        <v>1087.21</v>
      </c>
      <c r="K266" s="88">
        <v>6737873.5899999999</v>
      </c>
      <c r="L266" s="88">
        <v>554840.30000000005</v>
      </c>
      <c r="M266" s="88">
        <v>1087.3599999999999</v>
      </c>
      <c r="N266" s="88">
        <v>90.96</v>
      </c>
      <c r="O266" s="88"/>
      <c r="P266" s="88">
        <v>0</v>
      </c>
      <c r="Q266" s="88">
        <v>0</v>
      </c>
      <c r="R266" s="88">
        <v>0</v>
      </c>
      <c r="S266" s="89"/>
    </row>
    <row r="267" spans="2:19" ht="12" customHeight="1" x14ac:dyDescent="0.25">
      <c r="B267" s="88">
        <v>2460</v>
      </c>
      <c r="C267" s="88">
        <v>80.83</v>
      </c>
      <c r="D267" s="88">
        <v>100.24</v>
      </c>
      <c r="E267" s="88">
        <v>90.1</v>
      </c>
      <c r="F267" s="88">
        <v>90.96</v>
      </c>
      <c r="G267" s="88">
        <v>1923.53</v>
      </c>
      <c r="H267" s="88">
        <v>-1416.69</v>
      </c>
      <c r="I267" s="88">
        <v>-18.260000000000002</v>
      </c>
      <c r="J267" s="88">
        <v>1094.26</v>
      </c>
      <c r="K267" s="88">
        <v>6737873.5800000001</v>
      </c>
      <c r="L267" s="88">
        <v>554847.35</v>
      </c>
      <c r="M267" s="88">
        <v>1094.4100000000001</v>
      </c>
      <c r="N267" s="88">
        <v>90.96</v>
      </c>
      <c r="O267" s="88"/>
      <c r="P267" s="88">
        <v>1.1599999999999999</v>
      </c>
      <c r="Q267" s="88">
        <v>0</v>
      </c>
      <c r="R267" s="88">
        <v>1.1599999999999999</v>
      </c>
      <c r="S267" s="89"/>
    </row>
    <row r="268" spans="2:19" ht="12" customHeight="1" x14ac:dyDescent="0.25">
      <c r="B268" s="88">
        <v>2470</v>
      </c>
      <c r="C268" s="88">
        <v>81.99</v>
      </c>
      <c r="D268" s="88">
        <v>100.24</v>
      </c>
      <c r="E268" s="88">
        <v>90.1</v>
      </c>
      <c r="F268" s="88">
        <v>90.96</v>
      </c>
      <c r="G268" s="88">
        <v>1925.02</v>
      </c>
      <c r="H268" s="88">
        <v>-1418.18</v>
      </c>
      <c r="I268" s="88">
        <v>-18.420000000000002</v>
      </c>
      <c r="J268" s="88">
        <v>1104.1400000000001</v>
      </c>
      <c r="K268" s="88">
        <v>6737873.5599999996</v>
      </c>
      <c r="L268" s="88">
        <v>554857.24</v>
      </c>
      <c r="M268" s="88">
        <v>1104.3</v>
      </c>
      <c r="N268" s="88">
        <v>90.96</v>
      </c>
      <c r="O268" s="88"/>
      <c r="P268" s="88">
        <v>1.1599999999999999</v>
      </c>
      <c r="Q268" s="88">
        <v>0</v>
      </c>
      <c r="R268" s="88">
        <v>1.1599999999999999</v>
      </c>
      <c r="S268" s="89"/>
    </row>
    <row r="269" spans="2:19" ht="12" customHeight="1" x14ac:dyDescent="0.25">
      <c r="B269" s="88">
        <v>2480</v>
      </c>
      <c r="C269" s="88">
        <v>83.15</v>
      </c>
      <c r="D269" s="88">
        <v>100.24</v>
      </c>
      <c r="E269" s="88">
        <v>90.1</v>
      </c>
      <c r="F269" s="88">
        <v>90.96</v>
      </c>
      <c r="G269" s="88">
        <v>1926.31</v>
      </c>
      <c r="H269" s="88">
        <v>-1419.47</v>
      </c>
      <c r="I269" s="88">
        <v>-18.59</v>
      </c>
      <c r="J269" s="88">
        <v>1114.06</v>
      </c>
      <c r="K269" s="88">
        <v>6737873.5499999998</v>
      </c>
      <c r="L269" s="88">
        <v>554867.15</v>
      </c>
      <c r="M269" s="88">
        <v>1114.21</v>
      </c>
      <c r="N269" s="88">
        <v>90.96</v>
      </c>
      <c r="O269" s="88"/>
      <c r="P269" s="88">
        <v>1.1599999999999999</v>
      </c>
      <c r="Q269" s="88">
        <v>0</v>
      </c>
      <c r="R269" s="88">
        <v>1.1599999999999999</v>
      </c>
      <c r="S269" s="89"/>
    </row>
    <row r="270" spans="2:19" ht="12" customHeight="1" x14ac:dyDescent="0.25">
      <c r="B270" s="88">
        <v>2490</v>
      </c>
      <c r="C270" s="88">
        <v>84.31</v>
      </c>
      <c r="D270" s="88">
        <v>100.24</v>
      </c>
      <c r="E270" s="88">
        <v>90.1</v>
      </c>
      <c r="F270" s="88">
        <v>90.96</v>
      </c>
      <c r="G270" s="88">
        <v>1927.4</v>
      </c>
      <c r="H270" s="88">
        <v>-1420.56</v>
      </c>
      <c r="I270" s="88">
        <v>-18.75</v>
      </c>
      <c r="J270" s="88">
        <v>1124</v>
      </c>
      <c r="K270" s="88">
        <v>6737873.5300000003</v>
      </c>
      <c r="L270" s="88">
        <v>554877.09</v>
      </c>
      <c r="M270" s="88">
        <v>1124.1500000000001</v>
      </c>
      <c r="N270" s="88">
        <v>90.96</v>
      </c>
      <c r="O270" s="88"/>
      <c r="P270" s="88">
        <v>1.1599999999999999</v>
      </c>
      <c r="Q270" s="88">
        <v>0</v>
      </c>
      <c r="R270" s="88">
        <v>1.1599999999999999</v>
      </c>
      <c r="S270" s="89"/>
    </row>
    <row r="271" spans="2:19" ht="12" customHeight="1" x14ac:dyDescent="0.25">
      <c r="B271" s="88">
        <v>2500</v>
      </c>
      <c r="C271" s="88">
        <v>85.47</v>
      </c>
      <c r="D271" s="88">
        <v>100.24</v>
      </c>
      <c r="E271" s="88">
        <v>90.1</v>
      </c>
      <c r="F271" s="88">
        <v>90.96</v>
      </c>
      <c r="G271" s="88">
        <v>1928.3</v>
      </c>
      <c r="H271" s="88">
        <v>-1421.46</v>
      </c>
      <c r="I271" s="88">
        <v>-18.920000000000002</v>
      </c>
      <c r="J271" s="88">
        <v>1133.96</v>
      </c>
      <c r="K271" s="88">
        <v>6737873.5099999998</v>
      </c>
      <c r="L271" s="88">
        <v>554887.05000000005</v>
      </c>
      <c r="M271" s="88">
        <v>1134.1099999999999</v>
      </c>
      <c r="N271" s="88">
        <v>90.96</v>
      </c>
      <c r="O271" s="88"/>
      <c r="P271" s="88">
        <v>1.1599999999999999</v>
      </c>
      <c r="Q271" s="88">
        <v>0</v>
      </c>
      <c r="R271" s="88">
        <v>1.1599999999999999</v>
      </c>
      <c r="S271" s="89"/>
    </row>
    <row r="272" spans="2:19" ht="12" customHeight="1" x14ac:dyDescent="0.25">
      <c r="B272" s="88">
        <v>2510</v>
      </c>
      <c r="C272" s="88">
        <v>86.63</v>
      </c>
      <c r="D272" s="88">
        <v>100.24</v>
      </c>
      <c r="E272" s="88">
        <v>90.1</v>
      </c>
      <c r="F272" s="88">
        <v>90.96</v>
      </c>
      <c r="G272" s="88">
        <v>1928.98</v>
      </c>
      <c r="H272" s="88">
        <v>-1422.14</v>
      </c>
      <c r="I272" s="88">
        <v>-19.079999999999998</v>
      </c>
      <c r="J272" s="88">
        <v>1143.93</v>
      </c>
      <c r="K272" s="88">
        <v>6737873.5</v>
      </c>
      <c r="L272" s="88">
        <v>554897.03</v>
      </c>
      <c r="M272" s="88">
        <v>1144.0899999999999</v>
      </c>
      <c r="N272" s="88">
        <v>90.96</v>
      </c>
      <c r="O272" s="88"/>
      <c r="P272" s="88">
        <v>1.1599999999999999</v>
      </c>
      <c r="Q272" s="88">
        <v>0</v>
      </c>
      <c r="R272" s="88">
        <v>1.1599999999999999</v>
      </c>
      <c r="S272" s="89"/>
    </row>
    <row r="273" spans="2:19" ht="12" customHeight="1" x14ac:dyDescent="0.25">
      <c r="B273" s="88">
        <v>2520</v>
      </c>
      <c r="C273" s="88">
        <v>87.79</v>
      </c>
      <c r="D273" s="88">
        <v>100.24</v>
      </c>
      <c r="E273" s="88">
        <v>90.1</v>
      </c>
      <c r="F273" s="88">
        <v>90.96</v>
      </c>
      <c r="G273" s="88">
        <v>1929.47</v>
      </c>
      <c r="H273" s="88">
        <v>-1422.63</v>
      </c>
      <c r="I273" s="88">
        <v>-19.25</v>
      </c>
      <c r="J273" s="88">
        <v>1153.92</v>
      </c>
      <c r="K273" s="88">
        <v>6737873.4800000004</v>
      </c>
      <c r="L273" s="88">
        <v>554907.02</v>
      </c>
      <c r="M273" s="88">
        <v>1154.08</v>
      </c>
      <c r="N273" s="88">
        <v>90.96</v>
      </c>
      <c r="O273" s="88"/>
      <c r="P273" s="88">
        <v>1.1599999999999999</v>
      </c>
      <c r="Q273" s="88">
        <v>0</v>
      </c>
      <c r="R273" s="88">
        <v>1.1599999999999999</v>
      </c>
      <c r="S273" s="89"/>
    </row>
    <row r="274" spans="2:19" ht="12" customHeight="1" x14ac:dyDescent="0.25">
      <c r="B274" s="88">
        <v>2530</v>
      </c>
      <c r="C274" s="88">
        <v>88.95</v>
      </c>
      <c r="D274" s="88">
        <v>100.24</v>
      </c>
      <c r="E274" s="88">
        <v>90.1</v>
      </c>
      <c r="F274" s="88">
        <v>90.96</v>
      </c>
      <c r="G274" s="88">
        <v>1929.76</v>
      </c>
      <c r="H274" s="88">
        <v>-1422.92</v>
      </c>
      <c r="I274" s="88">
        <v>-19.420000000000002</v>
      </c>
      <c r="J274" s="88">
        <v>1163.9100000000001</v>
      </c>
      <c r="K274" s="88">
        <v>6737873.46</v>
      </c>
      <c r="L274" s="88">
        <v>554917.01</v>
      </c>
      <c r="M274" s="88">
        <v>1164.07</v>
      </c>
      <c r="N274" s="88">
        <v>90.96</v>
      </c>
      <c r="O274" s="88"/>
      <c r="P274" s="88">
        <v>1.1599999999999999</v>
      </c>
      <c r="Q274" s="88">
        <v>0</v>
      </c>
      <c r="R274" s="88">
        <v>1.1599999999999999</v>
      </c>
      <c r="S274" s="89"/>
    </row>
    <row r="275" spans="2:19" ht="12" customHeight="1" x14ac:dyDescent="0.25">
      <c r="B275" s="86">
        <v>2539.0500000000002</v>
      </c>
      <c r="C275" s="86">
        <v>90</v>
      </c>
      <c r="D275" s="86">
        <v>100.24</v>
      </c>
      <c r="E275" s="86">
        <v>90.1</v>
      </c>
      <c r="F275" s="86">
        <v>90.96</v>
      </c>
      <c r="G275" s="86">
        <v>1929.84</v>
      </c>
      <c r="H275" s="86">
        <v>-1423</v>
      </c>
      <c r="I275" s="86">
        <v>-19.57</v>
      </c>
      <c r="J275" s="86">
        <v>1172.96</v>
      </c>
      <c r="K275" s="86">
        <v>6737873.4500000002</v>
      </c>
      <c r="L275" s="86">
        <v>554926.06999999995</v>
      </c>
      <c r="M275" s="86">
        <v>1173.1300000000001</v>
      </c>
      <c r="N275" s="86">
        <v>90.96</v>
      </c>
      <c r="O275" s="86"/>
      <c r="P275" s="86">
        <v>1.1599999999999999</v>
      </c>
      <c r="Q275" s="86">
        <v>0</v>
      </c>
      <c r="R275" s="86">
        <v>1.1599999999999999</v>
      </c>
      <c r="S275" s="87" t="s">
        <v>53</v>
      </c>
    </row>
    <row r="276" spans="2:19" ht="12" customHeight="1" x14ac:dyDescent="0.25">
      <c r="B276" s="88">
        <v>2540</v>
      </c>
      <c r="C276" s="88">
        <v>90</v>
      </c>
      <c r="D276" s="88">
        <v>100.24</v>
      </c>
      <c r="E276" s="88">
        <v>90.1</v>
      </c>
      <c r="F276" s="88">
        <v>90.96</v>
      </c>
      <c r="G276" s="88">
        <v>1929.84</v>
      </c>
      <c r="H276" s="88">
        <v>-1423</v>
      </c>
      <c r="I276" s="88">
        <v>-19.59</v>
      </c>
      <c r="J276" s="88">
        <v>1173.9100000000001</v>
      </c>
      <c r="K276" s="88">
        <v>6737873.4500000002</v>
      </c>
      <c r="L276" s="88">
        <v>554927.01</v>
      </c>
      <c r="M276" s="88">
        <v>1174.07</v>
      </c>
      <c r="N276" s="88">
        <v>90.96</v>
      </c>
      <c r="O276" s="88"/>
      <c r="P276" s="88">
        <v>0</v>
      </c>
      <c r="Q276" s="88">
        <v>0</v>
      </c>
      <c r="R276" s="88">
        <v>0</v>
      </c>
      <c r="S276" s="89"/>
    </row>
    <row r="277" spans="2:19" ht="12" customHeight="1" x14ac:dyDescent="0.25">
      <c r="B277" s="88">
        <v>2550</v>
      </c>
      <c r="C277" s="88">
        <v>90</v>
      </c>
      <c r="D277" s="88">
        <v>100.24</v>
      </c>
      <c r="E277" s="88">
        <v>90.1</v>
      </c>
      <c r="F277" s="88">
        <v>90.96</v>
      </c>
      <c r="G277" s="88">
        <v>1929.84</v>
      </c>
      <c r="H277" s="88">
        <v>-1423</v>
      </c>
      <c r="I277" s="88">
        <v>-19.75</v>
      </c>
      <c r="J277" s="88">
        <v>1183.9100000000001</v>
      </c>
      <c r="K277" s="88">
        <v>6737873.4299999997</v>
      </c>
      <c r="L277" s="88">
        <v>554937.01</v>
      </c>
      <c r="M277" s="88">
        <v>1184.07</v>
      </c>
      <c r="N277" s="88">
        <v>90.96</v>
      </c>
      <c r="O277" s="88"/>
      <c r="P277" s="88">
        <v>0</v>
      </c>
      <c r="Q277" s="88">
        <v>0</v>
      </c>
      <c r="R277" s="88">
        <v>0</v>
      </c>
      <c r="S277" s="89"/>
    </row>
    <row r="278" spans="2:19" ht="12" customHeight="1" x14ac:dyDescent="0.25">
      <c r="B278" s="88">
        <v>2560</v>
      </c>
      <c r="C278" s="88">
        <v>90</v>
      </c>
      <c r="D278" s="88">
        <v>100.24</v>
      </c>
      <c r="E278" s="88">
        <v>90.1</v>
      </c>
      <c r="F278" s="88">
        <v>90.96</v>
      </c>
      <c r="G278" s="88">
        <v>1929.84</v>
      </c>
      <c r="H278" s="88">
        <v>-1423</v>
      </c>
      <c r="I278" s="88">
        <v>-19.920000000000002</v>
      </c>
      <c r="J278" s="88">
        <v>1193.9100000000001</v>
      </c>
      <c r="K278" s="88">
        <v>6737873.4100000001</v>
      </c>
      <c r="L278" s="88">
        <v>554947.01</v>
      </c>
      <c r="M278" s="88">
        <v>1194.07</v>
      </c>
      <c r="N278" s="88">
        <v>90.96</v>
      </c>
      <c r="O278" s="88"/>
      <c r="P278" s="88">
        <v>0</v>
      </c>
      <c r="Q278" s="88">
        <v>0</v>
      </c>
      <c r="R278" s="88">
        <v>0</v>
      </c>
      <c r="S278" s="89"/>
    </row>
    <row r="279" spans="2:19" ht="12" customHeight="1" x14ac:dyDescent="0.25">
      <c r="B279" s="88">
        <v>2570</v>
      </c>
      <c r="C279" s="88">
        <v>90</v>
      </c>
      <c r="D279" s="88">
        <v>100.24</v>
      </c>
      <c r="E279" s="88">
        <v>90.1</v>
      </c>
      <c r="F279" s="88">
        <v>90.96</v>
      </c>
      <c r="G279" s="88">
        <v>1929.84</v>
      </c>
      <c r="H279" s="88">
        <v>-1423</v>
      </c>
      <c r="I279" s="88">
        <v>-20.09</v>
      </c>
      <c r="J279" s="88">
        <v>1203.9100000000001</v>
      </c>
      <c r="K279" s="88">
        <v>6737873.4000000004</v>
      </c>
      <c r="L279" s="88">
        <v>554957.01</v>
      </c>
      <c r="M279" s="88">
        <v>1204.07</v>
      </c>
      <c r="N279" s="88">
        <v>90.96</v>
      </c>
      <c r="O279" s="88"/>
      <c r="P279" s="88">
        <v>0</v>
      </c>
      <c r="Q279" s="88">
        <v>0</v>
      </c>
      <c r="R279" s="88">
        <v>0</v>
      </c>
      <c r="S279" s="89"/>
    </row>
    <row r="280" spans="2:19" ht="12" customHeight="1" x14ac:dyDescent="0.25">
      <c r="B280" s="88">
        <v>2580</v>
      </c>
      <c r="C280" s="88">
        <v>90</v>
      </c>
      <c r="D280" s="88">
        <v>100.24</v>
      </c>
      <c r="E280" s="88">
        <v>90.1</v>
      </c>
      <c r="F280" s="88">
        <v>90.96</v>
      </c>
      <c r="G280" s="88">
        <v>1929.84</v>
      </c>
      <c r="H280" s="88">
        <v>-1423</v>
      </c>
      <c r="I280" s="88">
        <v>-20.25</v>
      </c>
      <c r="J280" s="88">
        <v>1213.9000000000001</v>
      </c>
      <c r="K280" s="88">
        <v>6737873.3799999999</v>
      </c>
      <c r="L280" s="88">
        <v>554967.01</v>
      </c>
      <c r="M280" s="88">
        <v>1214.07</v>
      </c>
      <c r="N280" s="88">
        <v>90.96</v>
      </c>
      <c r="O280" s="88"/>
      <c r="P280" s="88">
        <v>0</v>
      </c>
      <c r="Q280" s="88">
        <v>0</v>
      </c>
      <c r="R280" s="88">
        <v>0</v>
      </c>
      <c r="S280" s="89"/>
    </row>
    <row r="281" spans="2:19" ht="12" customHeight="1" x14ac:dyDescent="0.25">
      <c r="B281" s="88">
        <v>2590</v>
      </c>
      <c r="C281" s="88">
        <v>90</v>
      </c>
      <c r="D281" s="88">
        <v>100.24</v>
      </c>
      <c r="E281" s="88">
        <v>90.1</v>
      </c>
      <c r="F281" s="88">
        <v>90.96</v>
      </c>
      <c r="G281" s="88">
        <v>1929.84</v>
      </c>
      <c r="H281" s="88">
        <v>-1423</v>
      </c>
      <c r="I281" s="88">
        <v>-20.420000000000002</v>
      </c>
      <c r="J281" s="88">
        <v>1223.9000000000001</v>
      </c>
      <c r="K281" s="88">
        <v>6737873.3600000003</v>
      </c>
      <c r="L281" s="88">
        <v>554977.01</v>
      </c>
      <c r="M281" s="88">
        <v>1224.07</v>
      </c>
      <c r="N281" s="88">
        <v>90.96</v>
      </c>
      <c r="O281" s="88"/>
      <c r="P281" s="88">
        <v>0</v>
      </c>
      <c r="Q281" s="88">
        <v>0</v>
      </c>
      <c r="R281" s="88">
        <v>0</v>
      </c>
      <c r="S281" s="89"/>
    </row>
    <row r="282" spans="2:19" ht="12" customHeight="1" x14ac:dyDescent="0.25">
      <c r="B282" s="88">
        <v>2600</v>
      </c>
      <c r="C282" s="88">
        <v>90</v>
      </c>
      <c r="D282" s="88">
        <v>100.24</v>
      </c>
      <c r="E282" s="88">
        <v>90.1</v>
      </c>
      <c r="F282" s="88">
        <v>90.96</v>
      </c>
      <c r="G282" s="88">
        <v>1929.84</v>
      </c>
      <c r="H282" s="88">
        <v>-1423</v>
      </c>
      <c r="I282" s="88">
        <v>-20.59</v>
      </c>
      <c r="J282" s="88">
        <v>1233.9000000000001</v>
      </c>
      <c r="K282" s="88">
        <v>6737873.3499999996</v>
      </c>
      <c r="L282" s="88">
        <v>554987.01</v>
      </c>
      <c r="M282" s="88">
        <v>1234.07</v>
      </c>
      <c r="N282" s="88">
        <v>90.96</v>
      </c>
      <c r="O282" s="88"/>
      <c r="P282" s="88">
        <v>0</v>
      </c>
      <c r="Q282" s="88">
        <v>0</v>
      </c>
      <c r="R282" s="88">
        <v>0</v>
      </c>
      <c r="S282" s="89"/>
    </row>
    <row r="283" spans="2:19" ht="12" customHeight="1" x14ac:dyDescent="0.25">
      <c r="B283" s="88">
        <v>2610</v>
      </c>
      <c r="C283" s="88">
        <v>90</v>
      </c>
      <c r="D283" s="88">
        <v>100.24</v>
      </c>
      <c r="E283" s="88">
        <v>90.1</v>
      </c>
      <c r="F283" s="88">
        <v>90.96</v>
      </c>
      <c r="G283" s="88">
        <v>1929.84</v>
      </c>
      <c r="H283" s="88">
        <v>-1423</v>
      </c>
      <c r="I283" s="88">
        <v>-20.75</v>
      </c>
      <c r="J283" s="88">
        <v>1243.9000000000001</v>
      </c>
      <c r="K283" s="88">
        <v>6737873.3300000001</v>
      </c>
      <c r="L283" s="88">
        <v>554997.01</v>
      </c>
      <c r="M283" s="88">
        <v>1244.07</v>
      </c>
      <c r="N283" s="88">
        <v>90.96</v>
      </c>
      <c r="O283" s="88"/>
      <c r="P283" s="88">
        <v>0</v>
      </c>
      <c r="Q283" s="88">
        <v>0</v>
      </c>
      <c r="R283" s="88">
        <v>0</v>
      </c>
      <c r="S283" s="89"/>
    </row>
    <row r="284" spans="2:19" ht="12" customHeight="1" x14ac:dyDescent="0.25">
      <c r="B284" s="88">
        <v>2620</v>
      </c>
      <c r="C284" s="88">
        <v>90</v>
      </c>
      <c r="D284" s="88">
        <v>100.24</v>
      </c>
      <c r="E284" s="88">
        <v>90.1</v>
      </c>
      <c r="F284" s="88">
        <v>90.96</v>
      </c>
      <c r="G284" s="88">
        <v>1929.84</v>
      </c>
      <c r="H284" s="88">
        <v>-1423</v>
      </c>
      <c r="I284" s="88">
        <v>-20.92</v>
      </c>
      <c r="J284" s="88">
        <v>1253.9000000000001</v>
      </c>
      <c r="K284" s="88">
        <v>6737873.3099999996</v>
      </c>
      <c r="L284" s="88">
        <v>555007.01</v>
      </c>
      <c r="M284" s="88">
        <v>1254.07</v>
      </c>
      <c r="N284" s="88">
        <v>90.96</v>
      </c>
      <c r="O284" s="88"/>
      <c r="P284" s="88">
        <v>0</v>
      </c>
      <c r="Q284" s="88">
        <v>0</v>
      </c>
      <c r="R284" s="88">
        <v>0</v>
      </c>
      <c r="S284" s="89"/>
    </row>
    <row r="285" spans="2:19" ht="12" customHeight="1" x14ac:dyDescent="0.25">
      <c r="B285" s="88">
        <v>2630</v>
      </c>
      <c r="C285" s="88">
        <v>90</v>
      </c>
      <c r="D285" s="88">
        <v>100.24</v>
      </c>
      <c r="E285" s="88">
        <v>90.1</v>
      </c>
      <c r="F285" s="88">
        <v>90.96</v>
      </c>
      <c r="G285" s="88">
        <v>1929.84</v>
      </c>
      <c r="H285" s="88">
        <v>-1423</v>
      </c>
      <c r="I285" s="88">
        <v>-21.09</v>
      </c>
      <c r="J285" s="88">
        <v>1263.9000000000001</v>
      </c>
      <c r="K285" s="88">
        <v>6737873.2999999998</v>
      </c>
      <c r="L285" s="88">
        <v>555017.01</v>
      </c>
      <c r="M285" s="88">
        <v>1264.07</v>
      </c>
      <c r="N285" s="88">
        <v>90.96</v>
      </c>
      <c r="O285" s="88"/>
      <c r="P285" s="88">
        <v>0</v>
      </c>
      <c r="Q285" s="88">
        <v>0</v>
      </c>
      <c r="R285" s="88">
        <v>0</v>
      </c>
      <c r="S285" s="89"/>
    </row>
    <row r="286" spans="2:19" ht="12" customHeight="1" x14ac:dyDescent="0.25">
      <c r="B286" s="88">
        <v>2640</v>
      </c>
      <c r="C286" s="88">
        <v>90</v>
      </c>
      <c r="D286" s="88">
        <v>100.24</v>
      </c>
      <c r="E286" s="88">
        <v>90.1</v>
      </c>
      <c r="F286" s="88">
        <v>90.96</v>
      </c>
      <c r="G286" s="88">
        <v>1929.84</v>
      </c>
      <c r="H286" s="88">
        <v>-1423</v>
      </c>
      <c r="I286" s="88">
        <v>-21.26</v>
      </c>
      <c r="J286" s="88">
        <v>1273.9000000000001</v>
      </c>
      <c r="K286" s="88">
        <v>6737873.2800000003</v>
      </c>
      <c r="L286" s="88">
        <v>555027.01</v>
      </c>
      <c r="M286" s="88">
        <v>1274.07</v>
      </c>
      <c r="N286" s="88">
        <v>90.96</v>
      </c>
      <c r="O286" s="88"/>
      <c r="P286" s="88">
        <v>0</v>
      </c>
      <c r="Q286" s="88">
        <v>0</v>
      </c>
      <c r="R286" s="88">
        <v>0</v>
      </c>
      <c r="S286" s="89"/>
    </row>
    <row r="287" spans="2:19" ht="12" customHeight="1" x14ac:dyDescent="0.25">
      <c r="B287" s="88">
        <v>2650</v>
      </c>
      <c r="C287" s="88">
        <v>90</v>
      </c>
      <c r="D287" s="88">
        <v>100.24</v>
      </c>
      <c r="E287" s="88">
        <v>90.1</v>
      </c>
      <c r="F287" s="88">
        <v>90.96</v>
      </c>
      <c r="G287" s="88">
        <v>1929.84</v>
      </c>
      <c r="H287" s="88">
        <v>-1423</v>
      </c>
      <c r="I287" s="88">
        <v>-21.42</v>
      </c>
      <c r="J287" s="88">
        <v>1283.8900000000001</v>
      </c>
      <c r="K287" s="88">
        <v>6737873.2599999998</v>
      </c>
      <c r="L287" s="88">
        <v>555037.01</v>
      </c>
      <c r="M287" s="88">
        <v>1284.07</v>
      </c>
      <c r="N287" s="88">
        <v>90.96</v>
      </c>
      <c r="O287" s="88"/>
      <c r="P287" s="88">
        <v>0</v>
      </c>
      <c r="Q287" s="88">
        <v>0</v>
      </c>
      <c r="R287" s="88">
        <v>0</v>
      </c>
      <c r="S287" s="89"/>
    </row>
    <row r="288" spans="2:19" ht="12" customHeight="1" x14ac:dyDescent="0.25">
      <c r="B288" s="88">
        <v>2660</v>
      </c>
      <c r="C288" s="88">
        <v>90</v>
      </c>
      <c r="D288" s="88">
        <v>100.24</v>
      </c>
      <c r="E288" s="88">
        <v>90.1</v>
      </c>
      <c r="F288" s="88">
        <v>90.96</v>
      </c>
      <c r="G288" s="88">
        <v>1929.84</v>
      </c>
      <c r="H288" s="88">
        <v>-1423</v>
      </c>
      <c r="I288" s="88">
        <v>-21.59</v>
      </c>
      <c r="J288" s="88">
        <v>1293.8900000000001</v>
      </c>
      <c r="K288" s="88">
        <v>6737873.25</v>
      </c>
      <c r="L288" s="88">
        <v>555047.01</v>
      </c>
      <c r="M288" s="88">
        <v>1294.07</v>
      </c>
      <c r="N288" s="88">
        <v>90.96</v>
      </c>
      <c r="O288" s="88"/>
      <c r="P288" s="88">
        <v>0</v>
      </c>
      <c r="Q288" s="88">
        <v>0</v>
      </c>
      <c r="R288" s="88">
        <v>0</v>
      </c>
      <c r="S288" s="89"/>
    </row>
    <row r="289" spans="2:19" ht="12" customHeight="1" x14ac:dyDescent="0.25">
      <c r="B289" s="88">
        <v>2670</v>
      </c>
      <c r="C289" s="88">
        <v>90</v>
      </c>
      <c r="D289" s="88">
        <v>100.24</v>
      </c>
      <c r="E289" s="88">
        <v>90.1</v>
      </c>
      <c r="F289" s="88">
        <v>90.96</v>
      </c>
      <c r="G289" s="88">
        <v>1929.84</v>
      </c>
      <c r="H289" s="88">
        <v>-1423</v>
      </c>
      <c r="I289" s="88">
        <v>-21.76</v>
      </c>
      <c r="J289" s="88">
        <v>1303.8900000000001</v>
      </c>
      <c r="K289" s="88">
        <v>6737873.2300000004</v>
      </c>
      <c r="L289" s="88">
        <v>555057.01</v>
      </c>
      <c r="M289" s="88">
        <v>1304.07</v>
      </c>
      <c r="N289" s="88">
        <v>90.96</v>
      </c>
      <c r="O289" s="88"/>
      <c r="P289" s="88">
        <v>0</v>
      </c>
      <c r="Q289" s="88">
        <v>0</v>
      </c>
      <c r="R289" s="88">
        <v>0</v>
      </c>
      <c r="S289" s="89"/>
    </row>
    <row r="290" spans="2:19" ht="12" customHeight="1" x14ac:dyDescent="0.25">
      <c r="B290" s="88">
        <v>2680</v>
      </c>
      <c r="C290" s="88">
        <v>90</v>
      </c>
      <c r="D290" s="88">
        <v>100.24</v>
      </c>
      <c r="E290" s="88">
        <v>90.1</v>
      </c>
      <c r="F290" s="88">
        <v>90.96</v>
      </c>
      <c r="G290" s="88">
        <v>1929.84</v>
      </c>
      <c r="H290" s="88">
        <v>-1423</v>
      </c>
      <c r="I290" s="88">
        <v>-21.92</v>
      </c>
      <c r="J290" s="88">
        <v>1313.89</v>
      </c>
      <c r="K290" s="88">
        <v>6737873.21</v>
      </c>
      <c r="L290" s="88">
        <v>555067.01</v>
      </c>
      <c r="M290" s="88">
        <v>1314.07</v>
      </c>
      <c r="N290" s="88">
        <v>90.96</v>
      </c>
      <c r="O290" s="88"/>
      <c r="P290" s="88">
        <v>0</v>
      </c>
      <c r="Q290" s="88">
        <v>0</v>
      </c>
      <c r="R290" s="88">
        <v>0</v>
      </c>
      <c r="S290" s="89"/>
    </row>
    <row r="291" spans="2:19" ht="12" customHeight="1" x14ac:dyDescent="0.25">
      <c r="B291" s="88">
        <v>2690</v>
      </c>
      <c r="C291" s="88">
        <v>90</v>
      </c>
      <c r="D291" s="88">
        <v>100.24</v>
      </c>
      <c r="E291" s="88">
        <v>90.1</v>
      </c>
      <c r="F291" s="88">
        <v>90.96</v>
      </c>
      <c r="G291" s="88">
        <v>1929.84</v>
      </c>
      <c r="H291" s="88">
        <v>-1423</v>
      </c>
      <c r="I291" s="88">
        <v>-22.09</v>
      </c>
      <c r="J291" s="88">
        <v>1323.89</v>
      </c>
      <c r="K291" s="88">
        <v>6737873.2000000002</v>
      </c>
      <c r="L291" s="88">
        <v>555077.01</v>
      </c>
      <c r="M291" s="88">
        <v>1324.07</v>
      </c>
      <c r="N291" s="88">
        <v>90.96</v>
      </c>
      <c r="O291" s="88"/>
      <c r="P291" s="88">
        <v>0</v>
      </c>
      <c r="Q291" s="88">
        <v>0</v>
      </c>
      <c r="R291" s="88">
        <v>0</v>
      </c>
      <c r="S291" s="89"/>
    </row>
    <row r="292" spans="2:19" ht="12" customHeight="1" x14ac:dyDescent="0.25">
      <c r="B292" s="88">
        <v>2700</v>
      </c>
      <c r="C292" s="88">
        <v>90</v>
      </c>
      <c r="D292" s="88">
        <v>100.24</v>
      </c>
      <c r="E292" s="88">
        <v>90.1</v>
      </c>
      <c r="F292" s="88">
        <v>90.96</v>
      </c>
      <c r="G292" s="88">
        <v>1929.84</v>
      </c>
      <c r="H292" s="88">
        <v>-1423</v>
      </c>
      <c r="I292" s="88">
        <v>-22.26</v>
      </c>
      <c r="J292" s="88">
        <v>1333.89</v>
      </c>
      <c r="K292" s="88">
        <v>6737873.1799999997</v>
      </c>
      <c r="L292" s="88">
        <v>555087.01</v>
      </c>
      <c r="M292" s="88">
        <v>1334.07</v>
      </c>
      <c r="N292" s="88">
        <v>90.96</v>
      </c>
      <c r="O292" s="88"/>
      <c r="P292" s="88">
        <v>0</v>
      </c>
      <c r="Q292" s="88">
        <v>0</v>
      </c>
      <c r="R292" s="88">
        <v>0</v>
      </c>
      <c r="S292" s="89"/>
    </row>
    <row r="293" spans="2:19" ht="12" customHeight="1" x14ac:dyDescent="0.25">
      <c r="B293" s="86">
        <v>2709.48</v>
      </c>
      <c r="C293" s="86">
        <v>90</v>
      </c>
      <c r="D293" s="86">
        <v>100.24</v>
      </c>
      <c r="E293" s="86">
        <v>90.1</v>
      </c>
      <c r="F293" s="86">
        <v>90.96</v>
      </c>
      <c r="G293" s="86">
        <v>1929.84</v>
      </c>
      <c r="H293" s="86">
        <v>-1423</v>
      </c>
      <c r="I293" s="86">
        <v>-22.42</v>
      </c>
      <c r="J293" s="86">
        <v>1343.37</v>
      </c>
      <c r="K293" s="86">
        <v>6737873.1600000001</v>
      </c>
      <c r="L293" s="86">
        <v>555096.49</v>
      </c>
      <c r="M293" s="86">
        <v>1343.55</v>
      </c>
      <c r="N293" s="86">
        <v>90.96</v>
      </c>
      <c r="O293" s="86"/>
      <c r="P293" s="86">
        <v>0</v>
      </c>
      <c r="Q293" s="86">
        <v>0</v>
      </c>
      <c r="R293" s="86">
        <v>0</v>
      </c>
      <c r="S293" s="87" t="s">
        <v>54</v>
      </c>
    </row>
    <row r="294" spans="2:19" ht="12" customHeight="1" x14ac:dyDescent="0.25">
      <c r="B294" s="88">
        <v>2710</v>
      </c>
      <c r="C294" s="88">
        <v>89.95</v>
      </c>
      <c r="D294" s="88">
        <v>100.24</v>
      </c>
      <c r="E294" s="88">
        <v>90.1</v>
      </c>
      <c r="F294" s="88">
        <v>90.96</v>
      </c>
      <c r="G294" s="88">
        <v>1929.84</v>
      </c>
      <c r="H294" s="88">
        <v>-1423</v>
      </c>
      <c r="I294" s="88">
        <v>-22.42</v>
      </c>
      <c r="J294" s="88">
        <v>1343.89</v>
      </c>
      <c r="K294" s="88">
        <v>6737873.1600000001</v>
      </c>
      <c r="L294" s="88">
        <v>555097.01</v>
      </c>
      <c r="M294" s="88">
        <v>1344.07</v>
      </c>
      <c r="N294" s="88">
        <v>90.96</v>
      </c>
      <c r="O294" s="88"/>
      <c r="P294" s="88">
        <v>1</v>
      </c>
      <c r="Q294" s="88">
        <v>180</v>
      </c>
      <c r="R294" s="88">
        <v>-1</v>
      </c>
      <c r="S294" s="89"/>
    </row>
    <row r="295" spans="2:19" ht="12" customHeight="1" x14ac:dyDescent="0.25">
      <c r="B295" s="88">
        <v>2720</v>
      </c>
      <c r="C295" s="88">
        <v>88.95</v>
      </c>
      <c r="D295" s="88">
        <v>100.24</v>
      </c>
      <c r="E295" s="88">
        <v>90.1</v>
      </c>
      <c r="F295" s="88">
        <v>90.96</v>
      </c>
      <c r="G295" s="88">
        <v>1929.94</v>
      </c>
      <c r="H295" s="88">
        <v>-1423.1</v>
      </c>
      <c r="I295" s="88">
        <v>-22.59</v>
      </c>
      <c r="J295" s="88">
        <v>1353.88</v>
      </c>
      <c r="K295" s="88">
        <v>6737873.1500000004</v>
      </c>
      <c r="L295" s="88">
        <v>555107.01</v>
      </c>
      <c r="M295" s="88">
        <v>1354.07</v>
      </c>
      <c r="N295" s="88">
        <v>90.96</v>
      </c>
      <c r="O295" s="88"/>
      <c r="P295" s="88">
        <v>1</v>
      </c>
      <c r="Q295" s="88">
        <v>180</v>
      </c>
      <c r="R295" s="88">
        <v>-1</v>
      </c>
      <c r="S295" s="89"/>
    </row>
    <row r="296" spans="2:19" ht="12" customHeight="1" x14ac:dyDescent="0.25">
      <c r="B296" s="88">
        <v>2730</v>
      </c>
      <c r="C296" s="88">
        <v>87.95</v>
      </c>
      <c r="D296" s="88">
        <v>100.24</v>
      </c>
      <c r="E296" s="88">
        <v>90.1</v>
      </c>
      <c r="F296" s="88">
        <v>90.96</v>
      </c>
      <c r="G296" s="88">
        <v>1930.21</v>
      </c>
      <c r="H296" s="88">
        <v>-1423.37</v>
      </c>
      <c r="I296" s="88">
        <v>-22.76</v>
      </c>
      <c r="J296" s="88">
        <v>1363.88</v>
      </c>
      <c r="K296" s="88">
        <v>6737873.1299999999</v>
      </c>
      <c r="L296" s="88">
        <v>555117.01</v>
      </c>
      <c r="M296" s="88">
        <v>1364.07</v>
      </c>
      <c r="N296" s="88">
        <v>90.96</v>
      </c>
      <c r="O296" s="88"/>
      <c r="P296" s="88">
        <v>1</v>
      </c>
      <c r="Q296" s="88">
        <v>180</v>
      </c>
      <c r="R296" s="88">
        <v>-1</v>
      </c>
      <c r="S296" s="89"/>
    </row>
    <row r="297" spans="2:19" ht="12" customHeight="1" x14ac:dyDescent="0.25">
      <c r="B297" s="88">
        <v>2740</v>
      </c>
      <c r="C297" s="88">
        <v>86.95</v>
      </c>
      <c r="D297" s="88">
        <v>100.24</v>
      </c>
      <c r="E297" s="88">
        <v>90.1</v>
      </c>
      <c r="F297" s="88">
        <v>90.96</v>
      </c>
      <c r="G297" s="88">
        <v>1930.65</v>
      </c>
      <c r="H297" s="88">
        <v>-1423.81</v>
      </c>
      <c r="I297" s="88">
        <v>-22.93</v>
      </c>
      <c r="J297" s="88">
        <v>1373.87</v>
      </c>
      <c r="K297" s="88">
        <v>6737873.1100000003</v>
      </c>
      <c r="L297" s="88">
        <v>555127</v>
      </c>
      <c r="M297" s="88">
        <v>1374.06</v>
      </c>
      <c r="N297" s="88">
        <v>90.96</v>
      </c>
      <c r="O297" s="88"/>
      <c r="P297" s="88">
        <v>1</v>
      </c>
      <c r="Q297" s="88">
        <v>180</v>
      </c>
      <c r="R297" s="88">
        <v>-1</v>
      </c>
      <c r="S297" s="89"/>
    </row>
    <row r="298" spans="2:19" ht="12" customHeight="1" x14ac:dyDescent="0.25">
      <c r="B298" s="88">
        <v>2750</v>
      </c>
      <c r="C298" s="88">
        <v>85.95</v>
      </c>
      <c r="D298" s="88">
        <v>100.24</v>
      </c>
      <c r="E298" s="88">
        <v>90.1</v>
      </c>
      <c r="F298" s="88">
        <v>90.96</v>
      </c>
      <c r="G298" s="88">
        <v>1931.27</v>
      </c>
      <c r="H298" s="88">
        <v>-1424.43</v>
      </c>
      <c r="I298" s="88">
        <v>-23.09</v>
      </c>
      <c r="J298" s="88">
        <v>1383.85</v>
      </c>
      <c r="K298" s="88">
        <v>6737873.0999999996</v>
      </c>
      <c r="L298" s="88">
        <v>555136.98</v>
      </c>
      <c r="M298" s="88">
        <v>1384.04</v>
      </c>
      <c r="N298" s="88">
        <v>90.96</v>
      </c>
      <c r="O298" s="88"/>
      <c r="P298" s="88">
        <v>1</v>
      </c>
      <c r="Q298" s="88">
        <v>180</v>
      </c>
      <c r="R298" s="88">
        <v>-1</v>
      </c>
      <c r="S298" s="89"/>
    </row>
    <row r="299" spans="2:19" ht="12" customHeight="1" x14ac:dyDescent="0.25">
      <c r="B299" s="88">
        <v>2760</v>
      </c>
      <c r="C299" s="88">
        <v>84.95</v>
      </c>
      <c r="D299" s="88">
        <v>100.24</v>
      </c>
      <c r="E299" s="88">
        <v>90.1</v>
      </c>
      <c r="F299" s="88">
        <v>90.96</v>
      </c>
      <c r="G299" s="88">
        <v>1932.06</v>
      </c>
      <c r="H299" s="88">
        <v>-1425.22</v>
      </c>
      <c r="I299" s="88">
        <v>-23.26</v>
      </c>
      <c r="J299" s="88">
        <v>1393.81</v>
      </c>
      <c r="K299" s="88">
        <v>6737873.0800000001</v>
      </c>
      <c r="L299" s="88">
        <v>555146.94999999995</v>
      </c>
      <c r="M299" s="88">
        <v>1394.01</v>
      </c>
      <c r="N299" s="88">
        <v>90.96</v>
      </c>
      <c r="O299" s="88"/>
      <c r="P299" s="88">
        <v>1</v>
      </c>
      <c r="Q299" s="88">
        <v>180</v>
      </c>
      <c r="R299" s="88">
        <v>-1</v>
      </c>
      <c r="S299" s="89"/>
    </row>
    <row r="300" spans="2:19" ht="12" customHeight="1" x14ac:dyDescent="0.25">
      <c r="B300" s="88">
        <v>2770</v>
      </c>
      <c r="C300" s="88">
        <v>83.95</v>
      </c>
      <c r="D300" s="88">
        <v>100.24</v>
      </c>
      <c r="E300" s="88">
        <v>90.1</v>
      </c>
      <c r="F300" s="88">
        <v>90.96</v>
      </c>
      <c r="G300" s="88">
        <v>1933.03</v>
      </c>
      <c r="H300" s="88">
        <v>-1426.19</v>
      </c>
      <c r="I300" s="88">
        <v>-23.42</v>
      </c>
      <c r="J300" s="88">
        <v>1403.77</v>
      </c>
      <c r="K300" s="88">
        <v>6737873.0599999996</v>
      </c>
      <c r="L300" s="88">
        <v>555156.9</v>
      </c>
      <c r="M300" s="88">
        <v>1403.96</v>
      </c>
      <c r="N300" s="88">
        <v>90.96</v>
      </c>
      <c r="O300" s="88"/>
      <c r="P300" s="88">
        <v>1</v>
      </c>
      <c r="Q300" s="88">
        <v>180</v>
      </c>
      <c r="R300" s="88">
        <v>-1</v>
      </c>
      <c r="S300" s="89"/>
    </row>
    <row r="301" spans="2:19" ht="12" customHeight="1" x14ac:dyDescent="0.25">
      <c r="B301" s="88">
        <v>2780</v>
      </c>
      <c r="C301" s="88">
        <v>82.95</v>
      </c>
      <c r="D301" s="88">
        <v>100.24</v>
      </c>
      <c r="E301" s="88">
        <v>90.1</v>
      </c>
      <c r="F301" s="88">
        <v>90.96</v>
      </c>
      <c r="G301" s="88">
        <v>1934.17</v>
      </c>
      <c r="H301" s="88">
        <v>-1427.33</v>
      </c>
      <c r="I301" s="88">
        <v>-23.59</v>
      </c>
      <c r="J301" s="88">
        <v>1413.7</v>
      </c>
      <c r="K301" s="88">
        <v>6737873.0499999998</v>
      </c>
      <c r="L301" s="88">
        <v>555166.82999999996</v>
      </c>
      <c r="M301" s="88">
        <v>1413.9</v>
      </c>
      <c r="N301" s="88">
        <v>90.96</v>
      </c>
      <c r="O301" s="88"/>
      <c r="P301" s="88">
        <v>1</v>
      </c>
      <c r="Q301" s="88">
        <v>180</v>
      </c>
      <c r="R301" s="88">
        <v>-1</v>
      </c>
      <c r="S301" s="89"/>
    </row>
    <row r="302" spans="2:19" ht="12" customHeight="1" x14ac:dyDescent="0.25">
      <c r="B302" s="88">
        <v>2789.48</v>
      </c>
      <c r="C302" s="88">
        <v>82</v>
      </c>
      <c r="D302" s="88">
        <v>100.24</v>
      </c>
      <c r="E302" s="88">
        <v>90.1</v>
      </c>
      <c r="F302" s="88">
        <v>90.96</v>
      </c>
      <c r="G302" s="88">
        <v>1935.41</v>
      </c>
      <c r="H302" s="88">
        <v>-1428.57</v>
      </c>
      <c r="I302" s="88">
        <v>-23.75</v>
      </c>
      <c r="J302" s="88">
        <v>1423.1</v>
      </c>
      <c r="K302" s="88">
        <v>6737873.0300000003</v>
      </c>
      <c r="L302" s="88">
        <v>555176.23</v>
      </c>
      <c r="M302" s="88">
        <v>1423.29</v>
      </c>
      <c r="N302" s="88">
        <v>90.96</v>
      </c>
      <c r="O302" s="88"/>
      <c r="P302" s="88">
        <v>1</v>
      </c>
      <c r="Q302" s="88">
        <v>180</v>
      </c>
      <c r="R302" s="88">
        <v>-1</v>
      </c>
      <c r="S302" s="89"/>
    </row>
    <row r="303" spans="2:19" ht="12" customHeight="1" x14ac:dyDescent="0.25">
      <c r="B303" s="88">
        <v>2790</v>
      </c>
      <c r="C303" s="88">
        <v>82</v>
      </c>
      <c r="D303" s="88">
        <v>100.24</v>
      </c>
      <c r="E303" s="88">
        <v>90.1</v>
      </c>
      <c r="F303" s="88">
        <v>90.96</v>
      </c>
      <c r="G303" s="88">
        <v>1935.49</v>
      </c>
      <c r="H303" s="88">
        <v>-1428.65</v>
      </c>
      <c r="I303" s="88">
        <v>-23.76</v>
      </c>
      <c r="J303" s="88">
        <v>1423.61</v>
      </c>
      <c r="K303" s="88">
        <v>6737873.0300000003</v>
      </c>
      <c r="L303" s="88">
        <v>555176.75</v>
      </c>
      <c r="M303" s="88">
        <v>1423.81</v>
      </c>
      <c r="N303" s="88">
        <v>90.96</v>
      </c>
      <c r="O303" s="88"/>
      <c r="P303" s="88">
        <v>0</v>
      </c>
      <c r="Q303" s="88">
        <v>0</v>
      </c>
      <c r="R303" s="88">
        <v>0</v>
      </c>
      <c r="S303" s="89"/>
    </row>
    <row r="304" spans="2:19" ht="12" customHeight="1" x14ac:dyDescent="0.25">
      <c r="B304" s="88">
        <v>2800</v>
      </c>
      <c r="C304" s="88">
        <v>82</v>
      </c>
      <c r="D304" s="88">
        <v>100.24</v>
      </c>
      <c r="E304" s="88">
        <v>90.1</v>
      </c>
      <c r="F304" s="88">
        <v>90.96</v>
      </c>
      <c r="G304" s="88">
        <v>1936.88</v>
      </c>
      <c r="H304" s="88">
        <v>-1430.04</v>
      </c>
      <c r="I304" s="88">
        <v>-23.92</v>
      </c>
      <c r="J304" s="88">
        <v>1433.51</v>
      </c>
      <c r="K304" s="88">
        <v>6737873.0099999998</v>
      </c>
      <c r="L304" s="88">
        <v>555186.65</v>
      </c>
      <c r="M304" s="88">
        <v>1433.71</v>
      </c>
      <c r="N304" s="88">
        <v>90.96</v>
      </c>
      <c r="O304" s="88"/>
      <c r="P304" s="88">
        <v>0</v>
      </c>
      <c r="Q304" s="88">
        <v>0</v>
      </c>
      <c r="R304" s="88">
        <v>0</v>
      </c>
      <c r="S304" s="89"/>
    </row>
    <row r="305" spans="1:19" ht="12" customHeight="1" x14ac:dyDescent="0.25">
      <c r="B305" s="88">
        <v>2810</v>
      </c>
      <c r="C305" s="88">
        <v>82</v>
      </c>
      <c r="D305" s="88">
        <v>100.24</v>
      </c>
      <c r="E305" s="88">
        <v>90.1</v>
      </c>
      <c r="F305" s="88">
        <v>90.96</v>
      </c>
      <c r="G305" s="88">
        <v>1938.27</v>
      </c>
      <c r="H305" s="88">
        <v>-1431.43</v>
      </c>
      <c r="I305" s="88">
        <v>-24.09</v>
      </c>
      <c r="J305" s="88">
        <v>1443.41</v>
      </c>
      <c r="K305" s="88">
        <v>6737873</v>
      </c>
      <c r="L305" s="88">
        <v>555196.55000000005</v>
      </c>
      <c r="M305" s="88">
        <v>1443.61</v>
      </c>
      <c r="N305" s="88">
        <v>90.96</v>
      </c>
      <c r="O305" s="88"/>
      <c r="P305" s="88">
        <v>0</v>
      </c>
      <c r="Q305" s="88">
        <v>0</v>
      </c>
      <c r="R305" s="88">
        <v>0</v>
      </c>
      <c r="S305" s="89"/>
    </row>
    <row r="306" spans="1:19" ht="12" customHeight="1" x14ac:dyDescent="0.25">
      <c r="B306" s="88">
        <v>2820</v>
      </c>
      <c r="C306" s="88">
        <v>82</v>
      </c>
      <c r="D306" s="88">
        <v>100.24</v>
      </c>
      <c r="E306" s="88">
        <v>90.1</v>
      </c>
      <c r="F306" s="88">
        <v>90.96</v>
      </c>
      <c r="G306" s="88">
        <v>1939.66</v>
      </c>
      <c r="H306" s="88">
        <v>-1432.82</v>
      </c>
      <c r="I306" s="88">
        <v>-24.25</v>
      </c>
      <c r="J306" s="88">
        <v>1453.31</v>
      </c>
      <c r="K306" s="88">
        <v>6737872.9800000004</v>
      </c>
      <c r="L306" s="88">
        <v>555206.44999999995</v>
      </c>
      <c r="M306" s="88">
        <v>1453.52</v>
      </c>
      <c r="N306" s="88">
        <v>90.96</v>
      </c>
      <c r="O306" s="88"/>
      <c r="P306" s="88">
        <v>0</v>
      </c>
      <c r="Q306" s="88">
        <v>0</v>
      </c>
      <c r="R306" s="88">
        <v>0</v>
      </c>
      <c r="S306" s="89"/>
    </row>
    <row r="307" spans="1:19" ht="12" customHeight="1" x14ac:dyDescent="0.25">
      <c r="B307" s="88">
        <v>2830</v>
      </c>
      <c r="C307" s="88">
        <v>82</v>
      </c>
      <c r="D307" s="88">
        <v>100.24</v>
      </c>
      <c r="E307" s="88">
        <v>90.1</v>
      </c>
      <c r="F307" s="88">
        <v>90.96</v>
      </c>
      <c r="G307" s="88">
        <v>1941.05</v>
      </c>
      <c r="H307" s="88">
        <v>-1434.21</v>
      </c>
      <c r="I307" s="88">
        <v>-24.42</v>
      </c>
      <c r="J307" s="88">
        <v>1463.22</v>
      </c>
      <c r="K307" s="88">
        <v>6737872.96</v>
      </c>
      <c r="L307" s="88">
        <v>555216.36</v>
      </c>
      <c r="M307" s="88">
        <v>1463.42</v>
      </c>
      <c r="N307" s="88">
        <v>90.96</v>
      </c>
      <c r="O307" s="88"/>
      <c r="P307" s="88">
        <v>0</v>
      </c>
      <c r="Q307" s="88">
        <v>0</v>
      </c>
      <c r="R307" s="88">
        <v>0</v>
      </c>
      <c r="S307" s="89"/>
    </row>
    <row r="308" spans="1:19" ht="12" customHeight="1" x14ac:dyDescent="0.25">
      <c r="B308" s="88">
        <v>2840</v>
      </c>
      <c r="C308" s="88">
        <v>82</v>
      </c>
      <c r="D308" s="88">
        <v>100.24</v>
      </c>
      <c r="E308" s="88">
        <v>90.1</v>
      </c>
      <c r="F308" s="88">
        <v>90.96</v>
      </c>
      <c r="G308" s="88">
        <v>1942.45</v>
      </c>
      <c r="H308" s="88">
        <v>-1435.61</v>
      </c>
      <c r="I308" s="88">
        <v>-24.58</v>
      </c>
      <c r="J308" s="88">
        <v>1473.12</v>
      </c>
      <c r="K308" s="88">
        <v>6737872.9500000002</v>
      </c>
      <c r="L308" s="88">
        <v>555226.26</v>
      </c>
      <c r="M308" s="88">
        <v>1473.32</v>
      </c>
      <c r="N308" s="88">
        <v>90.96</v>
      </c>
      <c r="O308" s="88"/>
      <c r="P308" s="88">
        <v>0</v>
      </c>
      <c r="Q308" s="88">
        <v>0</v>
      </c>
      <c r="R308" s="88">
        <v>0</v>
      </c>
      <c r="S308" s="89"/>
    </row>
    <row r="309" spans="1:19" ht="12" customHeight="1" x14ac:dyDescent="0.25">
      <c r="B309" s="86">
        <v>2850</v>
      </c>
      <c r="C309" s="86">
        <v>82</v>
      </c>
      <c r="D309" s="86">
        <v>100.24</v>
      </c>
      <c r="E309" s="86">
        <v>90.1</v>
      </c>
      <c r="F309" s="86">
        <v>90.96</v>
      </c>
      <c r="G309" s="86">
        <v>1943.84</v>
      </c>
      <c r="H309" s="86">
        <v>-1437</v>
      </c>
      <c r="I309" s="86">
        <v>-24.75</v>
      </c>
      <c r="J309" s="86">
        <v>1483.02</v>
      </c>
      <c r="K309" s="86">
        <v>6737872.9299999997</v>
      </c>
      <c r="L309" s="86">
        <v>555236.16</v>
      </c>
      <c r="M309" s="86">
        <v>1483.22</v>
      </c>
      <c r="N309" s="86">
        <v>90.96</v>
      </c>
      <c r="O309" s="86"/>
      <c r="P309" s="86">
        <v>0</v>
      </c>
      <c r="Q309" s="86">
        <v>0</v>
      </c>
      <c r="R309" s="86">
        <v>0</v>
      </c>
      <c r="S309" s="87" t="s">
        <v>55</v>
      </c>
    </row>
    <row r="310" spans="1:19" ht="12" customHeight="1" x14ac:dyDescent="0.25">
      <c r="A310">
        <v>1</v>
      </c>
      <c r="B310" s="57">
        <f>A310+1</f>
        <v>2</v>
      </c>
      <c r="C310" s="57">
        <f t="shared" ref="C310:S310" si="0">B310+1</f>
        <v>3</v>
      </c>
      <c r="D310" s="57">
        <f t="shared" si="0"/>
        <v>4</v>
      </c>
      <c r="E310" s="57">
        <f t="shared" si="0"/>
        <v>5</v>
      </c>
      <c r="F310" s="57">
        <f t="shared" si="0"/>
        <v>6</v>
      </c>
      <c r="G310" s="57">
        <f t="shared" si="0"/>
        <v>7</v>
      </c>
      <c r="H310" s="57">
        <f t="shared" si="0"/>
        <v>8</v>
      </c>
      <c r="I310" s="57">
        <f t="shared" si="0"/>
        <v>9</v>
      </c>
      <c r="J310" s="57">
        <f t="shared" si="0"/>
        <v>10</v>
      </c>
      <c r="K310" s="57">
        <f t="shared" si="0"/>
        <v>11</v>
      </c>
      <c r="L310" s="57">
        <f t="shared" si="0"/>
        <v>12</v>
      </c>
      <c r="M310" s="57">
        <f t="shared" si="0"/>
        <v>13</v>
      </c>
      <c r="N310" s="57">
        <f t="shared" si="0"/>
        <v>14</v>
      </c>
      <c r="O310" s="57">
        <f t="shared" si="0"/>
        <v>15</v>
      </c>
      <c r="P310" s="57">
        <f t="shared" si="0"/>
        <v>16</v>
      </c>
      <c r="Q310" s="57">
        <f t="shared" si="0"/>
        <v>17</v>
      </c>
      <c r="R310" s="57">
        <f t="shared" si="0"/>
        <v>18</v>
      </c>
      <c r="S310" s="57">
        <f t="shared" si="0"/>
        <v>19</v>
      </c>
    </row>
    <row r="311" spans="1:19" ht="12" customHeight="1" x14ac:dyDescent="0.25">
      <c r="B311" s="57"/>
      <c r="C311" s="57"/>
      <c r="D311" s="57"/>
      <c r="E311" s="57"/>
      <c r="F311" s="57"/>
      <c r="G311" s="57"/>
      <c r="H311" s="57"/>
      <c r="I311" s="57"/>
      <c r="J311" s="57"/>
      <c r="K311" s="57"/>
      <c r="L311" s="57"/>
      <c r="M311" s="57"/>
      <c r="N311" s="57"/>
      <c r="O311" s="57"/>
      <c r="P311" s="57"/>
      <c r="Q311" s="57"/>
      <c r="R311" s="57"/>
      <c r="S311" s="90"/>
    </row>
    <row r="312" spans="1:19" ht="12" customHeight="1" x14ac:dyDescent="0.25">
      <c r="B312" s="57"/>
      <c r="C312" s="57"/>
      <c r="D312" s="57"/>
      <c r="E312" s="57"/>
      <c r="F312" s="57"/>
      <c r="G312" s="57"/>
      <c r="H312" s="57"/>
      <c r="I312" s="57"/>
      <c r="J312" s="57"/>
      <c r="K312" s="57"/>
      <c r="L312" s="57"/>
      <c r="M312" s="57"/>
      <c r="N312" s="57"/>
      <c r="O312" s="57"/>
      <c r="P312" s="57"/>
      <c r="Q312" s="57"/>
      <c r="R312" s="57"/>
      <c r="S312" s="90"/>
    </row>
    <row r="313" spans="1:19" ht="12" customHeight="1" x14ac:dyDescent="0.25">
      <c r="B313" s="57"/>
      <c r="C313" s="57"/>
      <c r="D313" s="57"/>
      <c r="E313" s="57"/>
      <c r="F313" s="57"/>
      <c r="G313" s="57"/>
      <c r="H313" s="57"/>
      <c r="I313" s="57"/>
      <c r="J313" s="57"/>
      <c r="K313" s="57"/>
      <c r="L313" s="57"/>
      <c r="M313" s="57"/>
      <c r="N313" s="57"/>
      <c r="O313" s="57"/>
      <c r="P313" s="57"/>
      <c r="Q313" s="57"/>
      <c r="R313" s="57"/>
      <c r="S313" s="90"/>
    </row>
    <row r="314" spans="1:19" ht="12" customHeight="1" x14ac:dyDescent="0.25">
      <c r="B314" s="57"/>
      <c r="C314" s="57"/>
      <c r="D314" s="57"/>
      <c r="E314" s="57"/>
      <c r="F314" s="57"/>
      <c r="G314" s="57"/>
      <c r="H314" s="57"/>
      <c r="I314" s="57"/>
      <c r="J314" s="57"/>
      <c r="K314" s="57"/>
      <c r="L314" s="57"/>
      <c r="M314" s="57"/>
      <c r="N314" s="57"/>
      <c r="O314" s="57"/>
      <c r="P314" s="57"/>
      <c r="Q314" s="57"/>
      <c r="R314" s="57"/>
      <c r="S314" s="90"/>
    </row>
    <row r="315" spans="1:19" ht="12" customHeight="1" x14ac:dyDescent="0.25">
      <c r="B315" s="57"/>
      <c r="C315" s="57"/>
      <c r="D315" s="57"/>
      <c r="E315" s="57"/>
      <c r="F315" s="57"/>
      <c r="G315" s="57"/>
      <c r="H315" s="57"/>
      <c r="I315" s="57"/>
      <c r="J315" s="57"/>
      <c r="K315" s="57"/>
      <c r="L315" s="57"/>
      <c r="M315" s="57"/>
      <c r="N315" s="57"/>
      <c r="O315" s="57"/>
      <c r="P315" s="57"/>
      <c r="Q315" s="57"/>
      <c r="R315" s="57"/>
      <c r="S315" s="90"/>
    </row>
    <row r="316" spans="1:19" ht="12" customHeight="1" x14ac:dyDescent="0.25">
      <c r="B316" s="57"/>
      <c r="C316" s="57"/>
      <c r="D316" s="57"/>
      <c r="E316" s="57"/>
      <c r="F316" s="57"/>
      <c r="G316" s="57"/>
      <c r="H316" s="57"/>
      <c r="I316" s="57"/>
      <c r="J316" s="57"/>
      <c r="K316" s="57"/>
      <c r="L316" s="57"/>
      <c r="M316" s="57"/>
      <c r="N316" s="57"/>
      <c r="O316" s="57"/>
      <c r="P316" s="57"/>
      <c r="Q316" s="57"/>
      <c r="R316" s="57"/>
      <c r="S316" s="90"/>
    </row>
    <row r="317" spans="1:19" ht="12" customHeight="1" x14ac:dyDescent="0.25">
      <c r="B317" s="57"/>
      <c r="C317" s="57"/>
      <c r="D317" s="57"/>
      <c r="E317" s="57"/>
      <c r="F317" s="57"/>
      <c r="G317" s="57"/>
      <c r="H317" s="57"/>
      <c r="I317" s="57"/>
      <c r="J317" s="57"/>
      <c r="K317" s="57"/>
      <c r="L317" s="57"/>
      <c r="M317" s="57"/>
      <c r="N317" s="57"/>
      <c r="O317" s="57"/>
      <c r="P317" s="57"/>
      <c r="Q317" s="57"/>
      <c r="R317" s="57"/>
      <c r="S317" s="90"/>
    </row>
    <row r="318" spans="1:19" ht="12" customHeight="1" x14ac:dyDescent="0.25">
      <c r="B318" s="57"/>
      <c r="C318" s="57"/>
      <c r="D318" s="57"/>
      <c r="E318" s="57"/>
      <c r="F318" s="57"/>
      <c r="G318" s="57"/>
      <c r="H318" s="57"/>
      <c r="I318" s="57"/>
      <c r="J318" s="57"/>
      <c r="K318" s="57"/>
      <c r="L318" s="57"/>
      <c r="M318" s="57"/>
      <c r="N318" s="57"/>
      <c r="O318" s="57"/>
      <c r="P318" s="57"/>
      <c r="Q318" s="57"/>
      <c r="R318" s="57"/>
      <c r="S318" s="90"/>
    </row>
    <row r="319" spans="1:19" ht="12" customHeight="1" x14ac:dyDescent="0.25">
      <c r="B319" s="57"/>
      <c r="C319" s="57"/>
      <c r="D319" s="57"/>
      <c r="E319" s="57"/>
      <c r="F319" s="57"/>
      <c r="G319" s="57"/>
      <c r="H319" s="57"/>
      <c r="I319" s="57"/>
      <c r="J319" s="57"/>
      <c r="K319" s="57"/>
      <c r="L319" s="57"/>
      <c r="M319" s="57"/>
      <c r="N319" s="57"/>
      <c r="O319" s="57"/>
      <c r="P319" s="57"/>
      <c r="Q319" s="57"/>
      <c r="R319" s="57"/>
      <c r="S319" s="90"/>
    </row>
    <row r="320" spans="1:19" ht="12" customHeight="1" x14ac:dyDescent="0.25">
      <c r="B320" s="57"/>
      <c r="C320" s="57"/>
      <c r="D320" s="57"/>
      <c r="E320" s="57"/>
      <c r="F320" s="57"/>
      <c r="G320" s="57"/>
      <c r="H320" s="57"/>
      <c r="I320" s="57"/>
      <c r="J320" s="57"/>
      <c r="K320" s="57"/>
      <c r="L320" s="57"/>
      <c r="M320" s="57"/>
      <c r="N320" s="57"/>
      <c r="O320" s="57"/>
      <c r="P320" s="57"/>
      <c r="Q320" s="57"/>
      <c r="R320" s="57"/>
      <c r="S320" s="90"/>
    </row>
    <row r="321" spans="2:19" ht="12" customHeight="1" x14ac:dyDescent="0.25">
      <c r="B321" s="57"/>
      <c r="C321" s="57"/>
      <c r="D321" s="57"/>
      <c r="E321" s="57"/>
      <c r="F321" s="57"/>
      <c r="G321" s="57"/>
      <c r="H321" s="57"/>
      <c r="I321" s="57"/>
      <c r="J321" s="57"/>
      <c r="K321" s="57"/>
      <c r="L321" s="57"/>
      <c r="M321" s="57"/>
      <c r="N321" s="57"/>
      <c r="O321" s="57"/>
      <c r="P321" s="57"/>
      <c r="Q321" s="57"/>
      <c r="R321" s="57"/>
      <c r="S321" s="90"/>
    </row>
  </sheetData>
  <printOptions horizontalCentered="1"/>
  <pageMargins left="0.39370078740157483" right="0.39370078740157483" top="0.98425196850393704" bottom="0.98425196850393704" header="0.51181102362204722" footer="0.51181102362204722"/>
  <pageSetup paperSize="9" scale="62" fitToHeight="100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Фактический_профиль</vt:lpstr>
      <vt:lpstr>Проектный_профиль_ЦГБ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Пользователь;Головастов</dc:creator>
  <cp:keywords>Инклинометрия</cp:keywords>
  <cp:lastModifiedBy>Пользователь</cp:lastModifiedBy>
  <dcterms:created xsi:type="dcterms:W3CDTF">2020-11-07T03:47:02Z</dcterms:created>
  <dcterms:modified xsi:type="dcterms:W3CDTF">2020-11-08T04:48:38Z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ZI" linkTarget="PROP_AZI">
    <vt:lpwstr>#ССЫЛКА!</vt:lpwstr>
  </property>
</Properties>
</file>