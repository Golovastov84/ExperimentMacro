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20" yWindow="-120" windowWidth="19420" windowHeight="11020" activeTab="1"/>
  </bookViews>
  <sheets>
    <sheet name="Лист1" sheetId="1" r:id="rId1"/>
    <sheet name="20Хнд" sheetId="2" r:id="rId2"/>
    <sheet name="Лист3" sheetId="3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" i="2" l="1"/>
  <c r="G10" i="2"/>
  <c r="I8" i="2"/>
  <c r="G8" i="2"/>
  <c r="H4" i="2"/>
  <c r="H5" i="2" s="1"/>
  <c r="H6" i="2" s="1"/>
  <c r="H7" i="2" s="1"/>
  <c r="H8" i="2" s="1"/>
  <c r="H9" i="2" s="1"/>
  <c r="H10" i="2" s="1"/>
  <c r="H11" i="2" s="1"/>
  <c r="H12" i="2" s="1"/>
  <c r="H3" i="2"/>
  <c r="H9" i="1" l="1"/>
  <c r="H3" i="1" l="1"/>
  <c r="H4" i="1" s="1"/>
  <c r="H5" i="1" s="1"/>
  <c r="H6" i="1" s="1"/>
  <c r="H7" i="1" s="1"/>
  <c r="H8" i="1" s="1"/>
</calcChain>
</file>

<file path=xl/sharedStrings.xml><?xml version="1.0" encoding="utf-8"?>
<sst xmlns="http://schemas.openxmlformats.org/spreadsheetml/2006/main" count="33" uniqueCount="30">
  <si>
    <t>Элемент</t>
  </si>
  <si>
    <t>Наработка, ч</t>
  </si>
  <si>
    <t>Dн, мм</t>
  </si>
  <si>
    <t>Dвн, мм</t>
  </si>
  <si>
    <t>L, м</t>
  </si>
  <si>
    <t>Lнарст., м</t>
  </si>
  <si>
    <t>Долото 508 25JSC №PR 8047</t>
  </si>
  <si>
    <t>Переводник №786</t>
  </si>
  <si>
    <t>КЛС-490 №104</t>
  </si>
  <si>
    <t>УБТ-229</t>
  </si>
  <si>
    <t>КЛС-508 №1085</t>
  </si>
  <si>
    <t>DPL</t>
  </si>
  <si>
    <t xml:space="preserve"> Долото 508 25JSC №PR 8047 508мм (0,51м) + Переводник №786 225мм (0,42м) + DPL 508мм (1,13м) + КЛС-490 №104 490мм (1,15м) + УБТ-229 229мм (7,58м) + КЛС-508 №1085 508мм (1,14м) + УБТ-229 229мм (10)</t>
  </si>
  <si>
    <t>Элемент КНБК</t>
  </si>
  <si>
    <t>Ø нар, мм</t>
  </si>
  <si>
    <t>Ø вн, мм</t>
  </si>
  <si>
    <t>Длина, м</t>
  </si>
  <si>
    <t>Σ, м</t>
  </si>
  <si>
    <t>масса, кг</t>
  </si>
  <si>
    <t>Бурголовка 152,4 №03_1584</t>
  </si>
  <si>
    <t>Корпус УКРБИ №119</t>
  </si>
  <si>
    <t>Центратор УКРБИ</t>
  </si>
  <si>
    <t>Узел безопасности УКРБИ</t>
  </si>
  <si>
    <t>УБТ-121</t>
  </si>
  <si>
    <t>ЯСС-121 №HMJ475-01-126</t>
  </si>
  <si>
    <t>Переводник № 139</t>
  </si>
  <si>
    <t>СБТ-102 "Д"</t>
  </si>
  <si>
    <t>СБТ-101.6 "S"</t>
  </si>
  <si>
    <t>ост</t>
  </si>
  <si>
    <t>Бурголовка 152,4 №03_1584-0,45м+Центратор УКРБИ-0,97м+Корпус УКРБИ №119-8,1м+Центратор УКРБИ-0,97м+Узел безопасности УКРБИ-1,46м+УБТ-121-96,63м+ЯСС-121 №HMJ475-01-126-6,63м+УБТ-121-24,36м+Переводник № 139-0,37м+СБТ-102 "Д"-302,34м+СБТ-101.6 "S"-ост.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</si>
</sst>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[$-409]mmmm\ d\,\ yyyy;@"/>
    <numFmt numFmtId="166" formatCode="dd/mm/yy;@"/>
  </numFmts>
  <fonts count="13" x14ac:knownFonts="1">
    <font>
      <sz val="11"/>
      <color theme="1"/>
      <name val="Calibri"/>
      <family val="2"/>
      <charset val="204"/>
      <scheme val="minor"/>
    </font>
    <font>
      <sz val="10"/>
      <name val="Helv"/>
      <charset val="204"/>
    </font>
    <font>
      <b/>
      <sz val="14"/>
      <name val="Times New Roman"/>
      <family val="1"/>
      <charset val="204"/>
    </font>
    <font>
      <sz val="10"/>
      <name val="Arial Cyr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name val="Verdana"/>
      <family val="2"/>
      <charset val="204"/>
    </font>
    <font>
      <sz val="11"/>
      <color rgb="FF000000"/>
      <name val="Calibri"/>
      <family val="2"/>
      <charset val="204"/>
    </font>
    <font>
      <b/>
      <sz val="10"/>
      <color indexed="8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5" fillId="0" borderId="0"/>
    <xf numFmtId="165" fontId="3" fillId="0" borderId="0"/>
    <xf numFmtId="0" fontId="7" fillId="0" borderId="0"/>
    <xf numFmtId="165" fontId="3" fillId="0" borderId="0"/>
    <xf numFmtId="0" fontId="8" fillId="0" borderId="0">
      <alignment vertical="center"/>
    </xf>
  </cellStyleXfs>
  <cellXfs count="62">
    <xf numFmtId="0" fontId="0" fillId="0" borderId="0" xfId="0"/>
    <xf numFmtId="0" fontId="2" fillId="2" borderId="2" xfId="2" applyFont="1" applyFill="1" applyBorder="1" applyAlignment="1" applyProtection="1">
      <alignment horizontal="center" vertical="center"/>
      <protection hidden="1"/>
    </xf>
    <xf numFmtId="0" fontId="2" fillId="2" borderId="2" xfId="2" applyFont="1" applyFill="1" applyBorder="1" applyAlignment="1" applyProtection="1">
      <alignment horizontal="center"/>
      <protection hidden="1"/>
    </xf>
    <xf numFmtId="0" fontId="2" fillId="2" borderId="2" xfId="1" applyFont="1" applyFill="1" applyBorder="1" applyAlignment="1" applyProtection="1">
      <alignment horizontal="center"/>
      <protection hidden="1"/>
    </xf>
    <xf numFmtId="0" fontId="2" fillId="2" borderId="3" xfId="1" applyFont="1" applyFill="1" applyBorder="1" applyAlignment="1" applyProtection="1">
      <alignment horizontal="center"/>
      <protection hidden="1"/>
    </xf>
    <xf numFmtId="2" fontId="4" fillId="0" borderId="6" xfId="2" applyNumberFormat="1" applyFont="1" applyFill="1" applyBorder="1" applyAlignment="1" applyProtection="1">
      <alignment horizontal="center" vertical="center"/>
      <protection hidden="1"/>
    </xf>
    <xf numFmtId="2" fontId="4" fillId="0" borderId="9" xfId="3" applyNumberFormat="1" applyFont="1" applyFill="1" applyBorder="1" applyAlignment="1" applyProtection="1">
      <alignment horizontal="center" vertical="center" wrapText="1"/>
      <protection locked="0"/>
    </xf>
    <xf numFmtId="164" fontId="4" fillId="2" borderId="7" xfId="2" applyNumberFormat="1" applyFont="1" applyFill="1" applyBorder="1" applyAlignment="1" applyProtection="1">
      <alignment horizontal="center" vertical="center"/>
      <protection hidden="1"/>
    </xf>
    <xf numFmtId="164" fontId="4" fillId="2" borderId="8" xfId="2" applyNumberFormat="1" applyFont="1" applyFill="1" applyBorder="1" applyAlignment="1" applyProtection="1">
      <alignment horizontal="center" vertical="center"/>
      <protection hidden="1"/>
    </xf>
    <xf numFmtId="164" fontId="4" fillId="2" borderId="10" xfId="2" applyNumberFormat="1" applyFont="1" applyFill="1" applyBorder="1" applyAlignment="1" applyProtection="1">
      <alignment horizontal="center" vertical="center"/>
      <protection hidden="1"/>
    </xf>
    <xf numFmtId="2" fontId="4" fillId="2" borderId="10" xfId="3" applyNumberFormat="1" applyFont="1" applyFill="1" applyBorder="1" applyAlignment="1" applyProtection="1">
      <alignment horizontal="center" vertical="center" wrapText="1"/>
      <protection locked="0"/>
    </xf>
    <xf numFmtId="0" fontId="4" fillId="2" borderId="11" xfId="1" applyFont="1" applyFill="1" applyBorder="1" applyAlignment="1" applyProtection="1">
      <alignment horizontal="center" vertical="center"/>
      <protection hidden="1"/>
    </xf>
    <xf numFmtId="2" fontId="4" fillId="2" borderId="7" xfId="4" applyNumberFormat="1" applyFont="1" applyFill="1" applyBorder="1" applyAlignment="1" applyProtection="1">
      <alignment horizontal="center" vertical="center"/>
      <protection hidden="1"/>
    </xf>
    <xf numFmtId="2" fontId="4" fillId="2" borderId="6" xfId="2" applyNumberFormat="1" applyFont="1" applyFill="1" applyBorder="1" applyAlignment="1">
      <alignment horizontal="center" vertical="center"/>
    </xf>
    <xf numFmtId="2" fontId="4" fillId="2" borderId="8" xfId="2" applyNumberFormat="1" applyFont="1" applyFill="1" applyBorder="1" applyAlignment="1" applyProtection="1">
      <alignment horizontal="center" vertical="center"/>
      <protection hidden="1"/>
    </xf>
    <xf numFmtId="2" fontId="4" fillId="2" borderId="10" xfId="2" applyNumberFormat="1" applyFont="1" applyFill="1" applyBorder="1" applyAlignment="1" applyProtection="1">
      <alignment horizontal="center" vertical="center"/>
      <protection hidden="1"/>
    </xf>
    <xf numFmtId="2" fontId="4" fillId="2" borderId="8" xfId="4" applyNumberFormat="1" applyFont="1" applyFill="1" applyBorder="1" applyAlignment="1" applyProtection="1">
      <alignment horizontal="center" vertical="center"/>
      <protection hidden="1"/>
    </xf>
    <xf numFmtId="2" fontId="6" fillId="2" borderId="8" xfId="5" applyNumberFormat="1" applyFont="1" applyFill="1" applyBorder="1" applyAlignment="1">
      <alignment horizontal="center" vertical="center"/>
    </xf>
    <xf numFmtId="1" fontId="6" fillId="0" borderId="12" xfId="5" applyNumberFormat="1" applyFont="1" applyFill="1" applyBorder="1" applyAlignment="1" applyProtection="1">
      <alignment horizontal="center" vertical="center"/>
      <protection hidden="1"/>
    </xf>
    <xf numFmtId="0" fontId="6" fillId="0" borderId="8" xfId="1" applyFont="1" applyFill="1" applyBorder="1" applyAlignment="1" applyProtection="1">
      <alignment horizontal="center"/>
      <protection hidden="1"/>
    </xf>
    <xf numFmtId="2" fontId="6" fillId="0" borderId="5" xfId="1" applyNumberFormat="1" applyFont="1" applyFill="1" applyBorder="1" applyAlignment="1" applyProtection="1">
      <alignment horizontal="center"/>
      <protection hidden="1"/>
    </xf>
    <xf numFmtId="2" fontId="6" fillId="2" borderId="9" xfId="3" applyNumberFormat="1" applyFont="1" applyFill="1" applyBorder="1" applyAlignment="1" applyProtection="1">
      <alignment horizontal="center" vertical="center" wrapText="1"/>
      <protection locked="0"/>
    </xf>
    <xf numFmtId="2" fontId="6" fillId="0" borderId="8" xfId="5" applyNumberFormat="1" applyFont="1" applyFill="1" applyBorder="1" applyAlignment="1">
      <alignment horizontal="center" vertical="center"/>
    </xf>
    <xf numFmtId="2" fontId="6" fillId="2" borderId="5" xfId="1" applyNumberFormat="1" applyFont="1" applyFill="1" applyBorder="1" applyAlignment="1" applyProtection="1">
      <alignment horizontal="center"/>
      <protection hidden="1"/>
    </xf>
    <xf numFmtId="0" fontId="6" fillId="2" borderId="8" xfId="1" applyFont="1" applyFill="1" applyBorder="1" applyAlignment="1" applyProtection="1">
      <alignment horizontal="center"/>
      <protection hidden="1"/>
    </xf>
    <xf numFmtId="1" fontId="6" fillId="2" borderId="12" xfId="5" applyNumberFormat="1" applyFont="1" applyFill="1" applyBorder="1" applyAlignment="1" applyProtection="1">
      <alignment horizontal="center" vertical="center"/>
      <protection hidden="1"/>
    </xf>
    <xf numFmtId="2" fontId="6" fillId="0" borderId="13" xfId="7" applyNumberFormat="1" applyFont="1" applyFill="1" applyBorder="1" applyAlignment="1">
      <alignment horizontal="center" vertical="center"/>
    </xf>
    <xf numFmtId="2" fontId="6" fillId="0" borderId="9" xfId="7" applyNumberFormat="1" applyFont="1" applyFill="1" applyBorder="1" applyAlignment="1">
      <alignment horizontal="center" vertical="center"/>
    </xf>
    <xf numFmtId="0" fontId="6" fillId="2" borderId="14" xfId="2" applyFont="1" applyFill="1" applyBorder="1" applyAlignment="1" applyProtection="1">
      <alignment horizontal="center"/>
      <protection hidden="1"/>
    </xf>
    <xf numFmtId="0" fontId="6" fillId="2" borderId="15" xfId="1" applyFont="1" applyFill="1" applyBorder="1" applyAlignment="1" applyProtection="1">
      <alignment horizontal="center"/>
      <protection hidden="1"/>
    </xf>
    <xf numFmtId="2" fontId="6" fillId="2" borderId="16" xfId="1" applyNumberFormat="1" applyFont="1" applyFill="1" applyBorder="1" applyAlignment="1" applyProtection="1">
      <alignment horizontal="center"/>
      <protection hidden="1"/>
    </xf>
    <xf numFmtId="0" fontId="6" fillId="2" borderId="17" xfId="2" applyFont="1" applyFill="1" applyBorder="1" applyAlignment="1" applyProtection="1">
      <alignment horizontal="center"/>
      <protection hidden="1"/>
    </xf>
    <xf numFmtId="0" fontId="6" fillId="0" borderId="17" xfId="2" applyFont="1" applyFill="1" applyBorder="1" applyAlignment="1" applyProtection="1">
      <alignment horizontal="center"/>
      <protection hidden="1"/>
    </xf>
    <xf numFmtId="2" fontId="6" fillId="0" borderId="6" xfId="2" applyNumberFormat="1" applyFont="1" applyFill="1" applyBorder="1" applyAlignment="1" applyProtection="1">
      <alignment horizontal="center" vertical="center"/>
      <protection hidden="1"/>
    </xf>
    <xf numFmtId="2" fontId="6" fillId="0" borderId="5" xfId="5" applyNumberFormat="1" applyFont="1" applyFill="1" applyBorder="1" applyAlignment="1">
      <alignment horizontal="center" vertical="center"/>
    </xf>
    <xf numFmtId="0" fontId="10" fillId="3" borderId="2" xfId="3" applyFont="1" applyFill="1" applyBorder="1" applyAlignment="1" applyProtection="1">
      <alignment horizontal="center"/>
      <protection hidden="1"/>
    </xf>
    <xf numFmtId="0" fontId="10" fillId="3" borderId="3" xfId="3" applyFont="1" applyFill="1" applyBorder="1" applyAlignment="1" applyProtection="1">
      <alignment horizontal="center"/>
      <protection hidden="1"/>
    </xf>
    <xf numFmtId="0" fontId="11" fillId="2" borderId="18" xfId="0" applyFont="1" applyFill="1" applyBorder="1" applyAlignment="1" applyProtection="1">
      <alignment horizontal="center" vertical="center" wrapText="1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0" borderId="21" xfId="3" applyFont="1" applyBorder="1" applyAlignment="1" applyProtection="1">
      <alignment horizontal="center" vertical="center" wrapText="1"/>
      <protection locked="0"/>
    </xf>
    <xf numFmtId="0" fontId="12" fillId="0" borderId="21" xfId="0" applyFont="1" applyBorder="1" applyAlignment="1" applyProtection="1">
      <alignment horizontal="center" vertical="center" wrapText="1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2" fontId="12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23" xfId="3" applyNumberFormat="1" applyFont="1" applyFill="1" applyBorder="1" applyAlignment="1" applyProtection="1">
      <alignment horizontal="center" vertical="center" wrapText="1"/>
      <protection locked="0"/>
    </xf>
    <xf numFmtId="2" fontId="11" fillId="0" borderId="23" xfId="3" applyNumberFormat="1" applyFont="1" applyFill="1" applyBorder="1" applyAlignment="1" applyProtection="1">
      <alignment horizontal="center" vertical="center" wrapText="1"/>
      <protection locked="0"/>
    </xf>
    <xf numFmtId="2" fontId="11" fillId="0" borderId="2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 wrapText="1"/>
    </xf>
    <xf numFmtId="2" fontId="4" fillId="0" borderId="4" xfId="2" applyNumberFormat="1" applyFont="1" applyFill="1" applyBorder="1" applyAlignment="1">
      <alignment horizontal="left" vertical="center" indent="2"/>
    </xf>
    <xf numFmtId="2" fontId="4" fillId="0" borderId="5" xfId="2" applyNumberFormat="1" applyFont="1" applyFill="1" applyBorder="1" applyAlignment="1">
      <alignment horizontal="left" vertical="center" indent="2"/>
    </xf>
    <xf numFmtId="0" fontId="6" fillId="2" borderId="4" xfId="1" applyFont="1" applyFill="1" applyBorder="1" applyAlignment="1" applyProtection="1">
      <alignment horizontal="left" vertical="center"/>
      <protection hidden="1"/>
    </xf>
    <xf numFmtId="0" fontId="6" fillId="2" borderId="5" xfId="1" applyFont="1" applyFill="1" applyBorder="1" applyAlignment="1" applyProtection="1">
      <alignment horizontal="left" vertical="center"/>
      <protection hidden="1"/>
    </xf>
    <xf numFmtId="0" fontId="6" fillId="0" borderId="4" xfId="1" applyFont="1" applyFill="1" applyBorder="1" applyAlignment="1" applyProtection="1">
      <alignment horizontal="left" vertical="center"/>
      <protection hidden="1"/>
    </xf>
    <xf numFmtId="0" fontId="6" fillId="0" borderId="5" xfId="1" applyFont="1" applyFill="1" applyBorder="1" applyAlignment="1" applyProtection="1">
      <alignment horizontal="left" vertical="center"/>
      <protection hidden="1"/>
    </xf>
    <xf numFmtId="2" fontId="6" fillId="0" borderId="4" xfId="5" applyNumberFormat="1" applyFont="1" applyFill="1" applyBorder="1" applyAlignment="1">
      <alignment horizontal="left" vertical="center"/>
    </xf>
    <xf numFmtId="2" fontId="6" fillId="0" borderId="5" xfId="5" applyNumberFormat="1" applyFont="1" applyFill="1" applyBorder="1" applyAlignment="1">
      <alignment horizontal="left" vertical="center"/>
    </xf>
    <xf numFmtId="0" fontId="2" fillId="2" borderId="1" xfId="1" applyFont="1" applyFill="1" applyBorder="1" applyAlignment="1" applyProtection="1">
      <alignment horizontal="center" vertical="center"/>
      <protection hidden="1"/>
    </xf>
    <xf numFmtId="0" fontId="2" fillId="2" borderId="2" xfId="1" applyFont="1" applyFill="1" applyBorder="1" applyAlignment="1" applyProtection="1">
      <alignment horizontal="center" vertical="center"/>
      <protection hidden="1"/>
    </xf>
    <xf numFmtId="0" fontId="6" fillId="0" borderId="10" xfId="1" applyFont="1" applyFill="1" applyBorder="1" applyAlignment="1" applyProtection="1">
      <alignment horizontal="left" vertical="center"/>
      <protection hidden="1"/>
    </xf>
    <xf numFmtId="166" fontId="10" fillId="3" borderId="1" xfId="3" applyNumberFormat="1" applyFont="1" applyFill="1" applyBorder="1" applyAlignment="1" applyProtection="1">
      <alignment horizontal="center"/>
      <protection hidden="1"/>
    </xf>
    <xf numFmtId="166" fontId="10" fillId="3" borderId="2" xfId="3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Alignment="1">
      <alignment horizontal="center" vertical="center" wrapText="1"/>
    </xf>
  </cellXfs>
  <cellStyles count="8">
    <cellStyle name="Обычный" xfId="0" builtinId="0"/>
    <cellStyle name="Обычный 2" xfId="2"/>
    <cellStyle name="Обычный 2 11 2" xfId="5"/>
    <cellStyle name="Обычный 2 12" xfId="4"/>
    <cellStyle name="Обычный 2 12 2" xfId="6"/>
    <cellStyle name="Обычный 3" xfId="3"/>
    <cellStyle name="Обычный 8 2_7. КНБК" xfId="7"/>
    <cellStyle name="Обычный_Бланк суточного отчета (рапорта) по бурению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76200</xdr:rowOff>
        </xdr:from>
        <xdr:to>
          <xdr:col>11</xdr:col>
          <xdr:colOff>76200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Сцепить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2</xdr:row>
          <xdr:rowOff>114300</xdr:rowOff>
        </xdr:from>
        <xdr:to>
          <xdr:col>13</xdr:col>
          <xdr:colOff>342900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Сцепить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R21"/>
  <sheetViews>
    <sheetView workbookViewId="0">
      <selection activeCell="F11" sqref="F11"/>
    </sheetView>
  </sheetViews>
  <sheetFormatPr defaultRowHeight="14.5" x14ac:dyDescent="0.35"/>
  <cols>
    <col min="3" max="3" width="21.26953125" customWidth="1"/>
  </cols>
  <sheetData>
    <row r="2" spans="2:18" ht="18" thickBot="1" x14ac:dyDescent="0.4">
      <c r="B2" s="56" t="s">
        <v>0</v>
      </c>
      <c r="C2" s="57"/>
      <c r="D2" s="1" t="s">
        <v>1</v>
      </c>
      <c r="E2" s="2" t="s">
        <v>2</v>
      </c>
      <c r="F2" s="3" t="s">
        <v>3</v>
      </c>
      <c r="G2" s="3" t="s">
        <v>4</v>
      </c>
      <c r="H2" s="4" t="s">
        <v>5</v>
      </c>
    </row>
    <row r="3" spans="2:18" ht="15.5" x14ac:dyDescent="0.35">
      <c r="B3" s="52" t="s">
        <v>6</v>
      </c>
      <c r="C3" s="58"/>
      <c r="D3" s="33">
        <v>77</v>
      </c>
      <c r="E3" s="28">
        <v>508</v>
      </c>
      <c r="F3" s="29">
        <v>0</v>
      </c>
      <c r="G3" s="30">
        <v>0.51</v>
      </c>
      <c r="H3" s="26">
        <f>G3</f>
        <v>0.51</v>
      </c>
    </row>
    <row r="4" spans="2:18" ht="15.75" customHeight="1" x14ac:dyDescent="0.35">
      <c r="B4" s="50" t="s">
        <v>7</v>
      </c>
      <c r="C4" s="51"/>
      <c r="D4" s="34">
        <v>8.5</v>
      </c>
      <c r="E4" s="31">
        <v>225</v>
      </c>
      <c r="F4" s="24">
        <v>101</v>
      </c>
      <c r="G4" s="23">
        <v>0.42</v>
      </c>
      <c r="H4" s="27">
        <f>H3+G4</f>
        <v>0.92999999999999994</v>
      </c>
    </row>
    <row r="5" spans="2:18" ht="15.75" x14ac:dyDescent="0.25">
      <c r="B5" s="52" t="s">
        <v>11</v>
      </c>
      <c r="C5" s="53"/>
      <c r="D5" s="32">
        <v>35</v>
      </c>
      <c r="E5" s="32">
        <v>508</v>
      </c>
      <c r="F5" s="19">
        <v>80</v>
      </c>
      <c r="G5" s="20">
        <v>1.1299999999999999</v>
      </c>
      <c r="H5" s="27">
        <f t="shared" ref="H5:H8" si="0">H4+G5</f>
        <v>2.0599999999999996</v>
      </c>
    </row>
    <row r="6" spans="2:18" ht="15.5" x14ac:dyDescent="0.35">
      <c r="B6" s="52" t="s">
        <v>8</v>
      </c>
      <c r="C6" s="53"/>
      <c r="D6" s="32">
        <v>9.5</v>
      </c>
      <c r="E6" s="31">
        <v>490</v>
      </c>
      <c r="F6" s="24">
        <v>80</v>
      </c>
      <c r="G6" s="23">
        <v>1.1499999999999999</v>
      </c>
      <c r="H6" s="27">
        <f t="shared" si="0"/>
        <v>3.2099999999999995</v>
      </c>
    </row>
    <row r="7" spans="2:18" ht="15.5" x14ac:dyDescent="0.35">
      <c r="B7" s="50" t="s">
        <v>9</v>
      </c>
      <c r="C7" s="51"/>
      <c r="D7" s="32">
        <v>11.5</v>
      </c>
      <c r="E7" s="32">
        <v>229</v>
      </c>
      <c r="F7" s="19">
        <v>90</v>
      </c>
      <c r="G7" s="23">
        <v>7.58</v>
      </c>
      <c r="H7" s="27">
        <f t="shared" si="0"/>
        <v>10.79</v>
      </c>
      <c r="J7" s="47" t="s">
        <v>12</v>
      </c>
      <c r="K7" s="47"/>
      <c r="L7" s="47"/>
      <c r="M7" s="47"/>
      <c r="N7" s="47"/>
      <c r="O7" s="47"/>
      <c r="P7" s="47"/>
      <c r="Q7" s="47"/>
      <c r="R7" s="47"/>
    </row>
    <row r="8" spans="2:18" ht="15.5" x14ac:dyDescent="0.35">
      <c r="B8" s="52" t="s">
        <v>10</v>
      </c>
      <c r="C8" s="53"/>
      <c r="D8" s="32">
        <v>32</v>
      </c>
      <c r="E8" s="32">
        <v>508</v>
      </c>
      <c r="F8" s="19">
        <v>80</v>
      </c>
      <c r="G8" s="20">
        <v>1.1399999999999999</v>
      </c>
      <c r="H8" s="27">
        <f t="shared" si="0"/>
        <v>11.93</v>
      </c>
      <c r="J8" s="47"/>
      <c r="K8" s="47"/>
      <c r="L8" s="47"/>
      <c r="M8" s="47"/>
      <c r="N8" s="47"/>
      <c r="O8" s="47"/>
      <c r="P8" s="47"/>
      <c r="Q8" s="47"/>
      <c r="R8" s="47"/>
    </row>
    <row r="9" spans="2:18" ht="15.5" x14ac:dyDescent="0.35">
      <c r="B9" s="50" t="s">
        <v>9</v>
      </c>
      <c r="C9" s="51"/>
      <c r="D9" s="32">
        <v>11.5</v>
      </c>
      <c r="E9" s="32">
        <v>229</v>
      </c>
      <c r="F9" s="19">
        <v>90</v>
      </c>
      <c r="G9" s="23">
        <v>10</v>
      </c>
      <c r="H9" s="27">
        <f>H8+G9</f>
        <v>21.93</v>
      </c>
      <c r="J9" s="47"/>
      <c r="K9" s="47"/>
      <c r="L9" s="47"/>
      <c r="M9" s="47"/>
      <c r="N9" s="47"/>
      <c r="O9" s="47"/>
      <c r="P9" s="47"/>
      <c r="Q9" s="47"/>
      <c r="R9" s="47"/>
    </row>
    <row r="10" spans="2:18" ht="15.5" x14ac:dyDescent="0.35">
      <c r="B10" s="50"/>
      <c r="C10" s="51"/>
      <c r="D10" s="33"/>
      <c r="E10" s="32"/>
      <c r="F10" s="19"/>
      <c r="G10" s="20"/>
      <c r="H10" s="27"/>
      <c r="J10" s="47"/>
      <c r="K10" s="47"/>
      <c r="L10" s="47"/>
      <c r="M10" s="47"/>
      <c r="N10" s="47"/>
      <c r="O10" s="47"/>
      <c r="P10" s="47"/>
      <c r="Q10" s="47"/>
      <c r="R10" s="47"/>
    </row>
    <row r="11" spans="2:18" ht="15.5" x14ac:dyDescent="0.35">
      <c r="B11" s="54"/>
      <c r="C11" s="55"/>
      <c r="D11" s="17"/>
      <c r="E11" s="25"/>
      <c r="F11" s="24"/>
      <c r="G11" s="23"/>
      <c r="H11" s="21"/>
      <c r="J11" s="47"/>
      <c r="K11" s="47"/>
      <c r="L11" s="47"/>
      <c r="M11" s="47"/>
      <c r="N11" s="47"/>
      <c r="O11" s="47"/>
      <c r="P11" s="47"/>
      <c r="Q11" s="47"/>
      <c r="R11" s="47"/>
    </row>
    <row r="12" spans="2:18" ht="15.5" x14ac:dyDescent="0.35">
      <c r="B12" s="54"/>
      <c r="C12" s="55"/>
      <c r="D12" s="17"/>
      <c r="E12" s="25"/>
      <c r="F12" s="24"/>
      <c r="G12" s="23"/>
      <c r="H12" s="21"/>
      <c r="J12" s="47"/>
      <c r="K12" s="47"/>
      <c r="L12" s="47"/>
      <c r="M12" s="47"/>
      <c r="N12" s="47"/>
      <c r="O12" s="47"/>
      <c r="P12" s="47"/>
      <c r="Q12" s="47"/>
      <c r="R12" s="47"/>
    </row>
    <row r="13" spans="2:18" ht="15.5" x14ac:dyDescent="0.35">
      <c r="B13" s="54"/>
      <c r="C13" s="55"/>
      <c r="D13" s="22"/>
      <c r="E13" s="18"/>
      <c r="F13" s="19"/>
      <c r="G13" s="23"/>
      <c r="H13" s="21"/>
      <c r="J13" s="47"/>
      <c r="K13" s="47"/>
      <c r="L13" s="47"/>
      <c r="M13" s="47"/>
      <c r="N13" s="47"/>
      <c r="O13" s="47"/>
      <c r="P13" s="47"/>
      <c r="Q13" s="47"/>
      <c r="R13" s="47"/>
    </row>
    <row r="14" spans="2:18" ht="18" x14ac:dyDescent="0.35">
      <c r="B14" s="48"/>
      <c r="C14" s="49"/>
      <c r="D14" s="5"/>
      <c r="E14" s="12"/>
      <c r="F14" s="16"/>
      <c r="G14" s="13"/>
      <c r="H14" s="6"/>
      <c r="J14" s="47"/>
      <c r="K14" s="47"/>
      <c r="L14" s="47"/>
      <c r="M14" s="47"/>
      <c r="N14" s="47"/>
      <c r="O14" s="47"/>
      <c r="P14" s="47"/>
      <c r="Q14" s="47"/>
      <c r="R14" s="47"/>
    </row>
    <row r="15" spans="2:18" ht="18" x14ac:dyDescent="0.35">
      <c r="B15" s="48"/>
      <c r="C15" s="49"/>
      <c r="D15" s="5"/>
      <c r="E15" s="7"/>
      <c r="F15" s="8"/>
      <c r="G15" s="14"/>
      <c r="H15" s="6"/>
      <c r="J15" s="47"/>
      <c r="K15" s="47"/>
      <c r="L15" s="47"/>
      <c r="M15" s="47"/>
      <c r="N15" s="47"/>
      <c r="O15" s="47"/>
      <c r="P15" s="47"/>
      <c r="Q15" s="47"/>
      <c r="R15" s="47"/>
    </row>
    <row r="16" spans="2:18" ht="18" x14ac:dyDescent="0.35">
      <c r="B16" s="48"/>
      <c r="C16" s="49"/>
      <c r="D16" s="5"/>
      <c r="E16" s="7"/>
      <c r="F16" s="8"/>
      <c r="G16" s="14"/>
      <c r="H16" s="6"/>
      <c r="J16" s="47"/>
      <c r="K16" s="47"/>
      <c r="L16" s="47"/>
      <c r="M16" s="47"/>
      <c r="N16" s="47"/>
      <c r="O16" s="47"/>
      <c r="P16" s="47"/>
      <c r="Q16" s="47"/>
      <c r="R16" s="47"/>
    </row>
    <row r="17" spans="2:18" ht="18" x14ac:dyDescent="0.35">
      <c r="B17" s="48"/>
      <c r="C17" s="49"/>
      <c r="D17" s="5"/>
      <c r="E17" s="7"/>
      <c r="F17" s="8"/>
      <c r="G17" s="15"/>
      <c r="H17" s="6"/>
      <c r="J17" s="47"/>
      <c r="K17" s="47"/>
      <c r="L17" s="47"/>
      <c r="M17" s="47"/>
      <c r="N17" s="47"/>
      <c r="O17" s="47"/>
      <c r="P17" s="47"/>
      <c r="Q17" s="47"/>
      <c r="R17" s="47"/>
    </row>
    <row r="18" spans="2:18" ht="18" x14ac:dyDescent="0.35">
      <c r="B18" s="48"/>
      <c r="C18" s="49"/>
      <c r="D18" s="5"/>
      <c r="E18" s="7"/>
      <c r="F18" s="8"/>
      <c r="G18" s="10"/>
      <c r="H18" s="6"/>
      <c r="J18" s="47"/>
      <c r="K18" s="47"/>
      <c r="L18" s="47"/>
      <c r="M18" s="47"/>
      <c r="N18" s="47"/>
      <c r="O18" s="47"/>
      <c r="P18" s="47"/>
      <c r="Q18" s="47"/>
      <c r="R18" s="47"/>
    </row>
    <row r="19" spans="2:18" ht="18" x14ac:dyDescent="0.35">
      <c r="B19" s="48"/>
      <c r="C19" s="49"/>
      <c r="D19" s="5"/>
      <c r="E19" s="7"/>
      <c r="F19" s="8"/>
      <c r="G19" s="11"/>
      <c r="H19" s="6"/>
      <c r="J19" s="47"/>
      <c r="K19" s="47"/>
      <c r="L19" s="47"/>
      <c r="M19" s="47"/>
      <c r="N19" s="47"/>
      <c r="O19" s="47"/>
      <c r="P19" s="47"/>
      <c r="Q19" s="47"/>
      <c r="R19" s="47"/>
    </row>
    <row r="20" spans="2:18" ht="18.75" x14ac:dyDescent="0.25">
      <c r="B20" s="48"/>
      <c r="C20" s="49"/>
      <c r="D20" s="5"/>
      <c r="E20" s="9"/>
      <c r="F20" s="8"/>
      <c r="G20" s="11"/>
      <c r="H20" s="6"/>
    </row>
    <row r="21" spans="2:18" ht="15.5" x14ac:dyDescent="0.35">
      <c r="B21" s="50"/>
      <c r="C21" s="51"/>
      <c r="D21" s="32"/>
      <c r="E21" s="32"/>
      <c r="F21" s="19"/>
      <c r="G21" s="23"/>
      <c r="H21" s="27"/>
    </row>
  </sheetData>
  <mergeCells count="21">
    <mergeCell ref="B2:C2"/>
    <mergeCell ref="B3:C3"/>
    <mergeCell ref="B4:C4"/>
    <mergeCell ref="B5:C5"/>
    <mergeCell ref="B6:C6"/>
    <mergeCell ref="J7:R19"/>
    <mergeCell ref="B18:C18"/>
    <mergeCell ref="B19:C19"/>
    <mergeCell ref="B20:C20"/>
    <mergeCell ref="B21:C21"/>
    <mergeCell ref="B7:C7"/>
    <mergeCell ref="B14:C14"/>
    <mergeCell ref="B15:C15"/>
    <mergeCell ref="B16:C16"/>
    <mergeCell ref="B17:C17"/>
    <mergeCell ref="B8:C8"/>
    <mergeCell ref="B9:C9"/>
    <mergeCell ref="B10:C10"/>
    <mergeCell ref="B11:C11"/>
    <mergeCell ref="B12:C12"/>
    <mergeCell ref="B13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езультат_сцепки">
                <anchor moveWithCells="1" sizeWithCells="1">
                  <from>
                    <xdr:col>9</xdr:col>
                    <xdr:colOff>57150</xdr:colOff>
                    <xdr:row>2</xdr:row>
                    <xdr:rowOff>76200</xdr:rowOff>
                  </from>
                  <to>
                    <xdr:col>11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S20"/>
  <sheetViews>
    <sheetView tabSelected="1" workbookViewId="0">
      <selection activeCell="F19" sqref="F19"/>
    </sheetView>
  </sheetViews>
  <sheetFormatPr defaultRowHeight="14.5" x14ac:dyDescent="0.35"/>
  <sheetData>
    <row r="2" spans="2:19" ht="15" thickBot="1" x14ac:dyDescent="0.4">
      <c r="B2" s="59" t="s">
        <v>13</v>
      </c>
      <c r="C2" s="60"/>
      <c r="D2" s="60"/>
      <c r="E2" s="35" t="s">
        <v>14</v>
      </c>
      <c r="F2" s="35" t="s">
        <v>15</v>
      </c>
      <c r="G2" s="35" t="s">
        <v>16</v>
      </c>
      <c r="H2" s="35" t="s">
        <v>17</v>
      </c>
      <c r="I2" s="36" t="s">
        <v>18</v>
      </c>
    </row>
    <row r="3" spans="2:19" ht="15.5" x14ac:dyDescent="0.35">
      <c r="B3" s="37"/>
      <c r="C3" s="38" t="s">
        <v>19</v>
      </c>
      <c r="D3" s="39"/>
      <c r="E3" s="40">
        <v>152.4</v>
      </c>
      <c r="F3" s="41"/>
      <c r="G3" s="42">
        <v>0.45</v>
      </c>
      <c r="H3" s="43">
        <f>G3</f>
        <v>0.45</v>
      </c>
      <c r="I3" s="44">
        <v>60</v>
      </c>
    </row>
    <row r="4" spans="2:19" ht="15.5" x14ac:dyDescent="0.35">
      <c r="B4" s="37"/>
      <c r="C4" s="38" t="s">
        <v>21</v>
      </c>
      <c r="D4" s="39"/>
      <c r="E4" s="40">
        <v>140</v>
      </c>
      <c r="F4" s="41">
        <v>57</v>
      </c>
      <c r="G4" s="42">
        <v>0.97</v>
      </c>
      <c r="H4" s="43">
        <f>H3+G4</f>
        <v>1.42</v>
      </c>
      <c r="I4" s="45">
        <v>64</v>
      </c>
    </row>
    <row r="5" spans="2:19" ht="15.5" x14ac:dyDescent="0.35">
      <c r="B5" s="37"/>
      <c r="C5" s="38" t="s">
        <v>20</v>
      </c>
      <c r="D5" s="39"/>
      <c r="E5" s="40">
        <v>135</v>
      </c>
      <c r="F5" s="41">
        <v>57</v>
      </c>
      <c r="G5" s="42">
        <v>8.1</v>
      </c>
      <c r="H5" s="43">
        <f t="shared" ref="H5:H12" si="0">H4+G5</f>
        <v>9.52</v>
      </c>
      <c r="I5" s="44">
        <v>537</v>
      </c>
    </row>
    <row r="6" spans="2:19" ht="15.5" x14ac:dyDescent="0.35">
      <c r="B6" s="37"/>
      <c r="C6" s="38" t="s">
        <v>21</v>
      </c>
      <c r="D6" s="39"/>
      <c r="E6" s="40">
        <v>140</v>
      </c>
      <c r="F6" s="41">
        <v>57</v>
      </c>
      <c r="G6" s="42">
        <v>0.97</v>
      </c>
      <c r="H6" s="43">
        <f t="shared" si="0"/>
        <v>10.49</v>
      </c>
      <c r="I6" s="44">
        <v>64</v>
      </c>
    </row>
    <row r="7" spans="2:19" ht="15.5" x14ac:dyDescent="0.35">
      <c r="B7" s="37"/>
      <c r="C7" s="38" t="s">
        <v>22</v>
      </c>
      <c r="D7" s="39"/>
      <c r="E7" s="40">
        <v>135</v>
      </c>
      <c r="F7" s="41">
        <v>38</v>
      </c>
      <c r="G7" s="46">
        <v>1.46</v>
      </c>
      <c r="H7" s="43">
        <f t="shared" si="0"/>
        <v>11.95</v>
      </c>
      <c r="I7" s="44">
        <v>200</v>
      </c>
      <c r="L7" s="61" t="s">
        <v>29</v>
      </c>
      <c r="M7" s="61"/>
      <c r="N7" s="61"/>
      <c r="O7" s="61"/>
      <c r="P7" s="61"/>
      <c r="Q7" s="61"/>
      <c r="R7" s="61"/>
      <c r="S7" s="61"/>
    </row>
    <row r="8" spans="2:19" ht="15.5" x14ac:dyDescent="0.35">
      <c r="B8" s="37"/>
      <c r="C8" s="38" t="s">
        <v>23</v>
      </c>
      <c r="D8" s="39"/>
      <c r="E8" s="40">
        <v>121</v>
      </c>
      <c r="F8" s="41">
        <v>57</v>
      </c>
      <c r="G8" s="46">
        <f>24.21+24.47+24.28+23.67</f>
        <v>96.63000000000001</v>
      </c>
      <c r="H8" s="43">
        <f t="shared" si="0"/>
        <v>108.58000000000001</v>
      </c>
      <c r="I8" s="44">
        <f>1605+1622+1651+1569</f>
        <v>6447</v>
      </c>
      <c r="L8" s="61"/>
      <c r="M8" s="61"/>
      <c r="N8" s="61"/>
      <c r="O8" s="61"/>
      <c r="P8" s="61"/>
      <c r="Q8" s="61"/>
      <c r="R8" s="61"/>
      <c r="S8" s="61"/>
    </row>
    <row r="9" spans="2:19" ht="15.5" x14ac:dyDescent="0.35">
      <c r="B9" s="37"/>
      <c r="C9" s="38" t="s">
        <v>24</v>
      </c>
      <c r="D9" s="39"/>
      <c r="E9" s="40">
        <v>124</v>
      </c>
      <c r="F9" s="41">
        <v>50</v>
      </c>
      <c r="G9" s="46">
        <v>6.63</v>
      </c>
      <c r="H9" s="43">
        <f t="shared" si="0"/>
        <v>115.21000000000001</v>
      </c>
      <c r="I9" s="44">
        <v>347</v>
      </c>
      <c r="L9" s="61"/>
      <c r="M9" s="61"/>
      <c r="N9" s="61"/>
      <c r="O9" s="61"/>
      <c r="P9" s="61"/>
      <c r="Q9" s="61"/>
      <c r="R9" s="61"/>
      <c r="S9" s="61"/>
    </row>
    <row r="10" spans="2:19" ht="15.5" x14ac:dyDescent="0.35">
      <c r="B10" s="37"/>
      <c r="C10" s="38" t="s">
        <v>23</v>
      </c>
      <c r="D10" s="39"/>
      <c r="E10" s="40">
        <v>121</v>
      </c>
      <c r="F10" s="41">
        <v>57</v>
      </c>
      <c r="G10" s="42">
        <f>8.22+8.03+8.11</f>
        <v>24.36</v>
      </c>
      <c r="H10" s="43">
        <f t="shared" si="0"/>
        <v>139.57</v>
      </c>
      <c r="I10" s="44">
        <f>545+532+543</f>
        <v>1620</v>
      </c>
      <c r="L10" s="61"/>
      <c r="M10" s="61"/>
      <c r="N10" s="61"/>
      <c r="O10" s="61"/>
      <c r="P10" s="61"/>
      <c r="Q10" s="61"/>
      <c r="R10" s="61"/>
      <c r="S10" s="61"/>
    </row>
    <row r="11" spans="2:19" ht="15.5" x14ac:dyDescent="0.35">
      <c r="B11" s="37"/>
      <c r="C11" s="38" t="s">
        <v>25</v>
      </c>
      <c r="D11" s="39"/>
      <c r="E11" s="40">
        <v>133</v>
      </c>
      <c r="F11" s="41">
        <v>55</v>
      </c>
      <c r="G11" s="46">
        <v>0.37</v>
      </c>
      <c r="H11" s="43">
        <f t="shared" si="0"/>
        <v>139.94</v>
      </c>
      <c r="I11" s="44">
        <v>13</v>
      </c>
      <c r="L11" s="61"/>
      <c r="M11" s="61"/>
      <c r="N11" s="61"/>
      <c r="O11" s="61"/>
      <c r="P11" s="61"/>
      <c r="Q11" s="61"/>
      <c r="R11" s="61"/>
      <c r="S11" s="61"/>
    </row>
    <row r="12" spans="2:19" ht="15.5" x14ac:dyDescent="0.35">
      <c r="B12" s="37"/>
      <c r="C12" s="38" t="s">
        <v>26</v>
      </c>
      <c r="D12" s="39"/>
      <c r="E12" s="40">
        <v>102</v>
      </c>
      <c r="F12" s="41">
        <v>85</v>
      </c>
      <c r="G12" s="42">
        <v>302.33999999999997</v>
      </c>
      <c r="H12" s="43">
        <f t="shared" si="0"/>
        <v>442.28</v>
      </c>
      <c r="I12" s="44"/>
      <c r="L12" s="61"/>
      <c r="M12" s="61"/>
      <c r="N12" s="61"/>
      <c r="O12" s="61"/>
      <c r="P12" s="61"/>
      <c r="Q12" s="61"/>
      <c r="R12" s="61"/>
      <c r="S12" s="61"/>
    </row>
    <row r="13" spans="2:19" ht="15.5" x14ac:dyDescent="0.35">
      <c r="B13" s="37"/>
      <c r="C13" s="38" t="s">
        <v>27</v>
      </c>
      <c r="D13" s="39"/>
      <c r="E13" s="40">
        <v>102</v>
      </c>
      <c r="F13" s="41">
        <v>85</v>
      </c>
      <c r="G13" s="46" t="s">
        <v>28</v>
      </c>
      <c r="H13" s="43"/>
      <c r="I13" s="44"/>
      <c r="L13" s="61"/>
      <c r="M13" s="61"/>
      <c r="N13" s="61"/>
      <c r="O13" s="61"/>
      <c r="P13" s="61"/>
      <c r="Q13" s="61"/>
      <c r="R13" s="61"/>
      <c r="S13" s="61"/>
    </row>
    <row r="14" spans="2:19" x14ac:dyDescent="0.35">
      <c r="L14" s="61"/>
      <c r="M14" s="61"/>
      <c r="N14" s="61"/>
      <c r="O14" s="61"/>
      <c r="P14" s="61"/>
      <c r="Q14" s="61"/>
      <c r="R14" s="61"/>
      <c r="S14" s="61"/>
    </row>
    <row r="15" spans="2:19" x14ac:dyDescent="0.35">
      <c r="L15" s="61"/>
      <c r="M15" s="61"/>
      <c r="N15" s="61"/>
      <c r="O15" s="61"/>
      <c r="P15" s="61"/>
      <c r="Q15" s="61"/>
      <c r="R15" s="61"/>
      <c r="S15" s="61"/>
    </row>
    <row r="16" spans="2:19" x14ac:dyDescent="0.35">
      <c r="L16" s="61"/>
      <c r="M16" s="61"/>
      <c r="N16" s="61"/>
      <c r="O16" s="61"/>
      <c r="P16" s="61"/>
      <c r="Q16" s="61"/>
      <c r="R16" s="61"/>
      <c r="S16" s="61"/>
    </row>
    <row r="17" spans="12:19" x14ac:dyDescent="0.35">
      <c r="L17" s="61"/>
      <c r="M17" s="61"/>
      <c r="N17" s="61"/>
      <c r="O17" s="61"/>
      <c r="P17" s="61"/>
      <c r="Q17" s="61"/>
      <c r="R17" s="61"/>
      <c r="S17" s="61"/>
    </row>
    <row r="18" spans="12:19" x14ac:dyDescent="0.35">
      <c r="L18" s="61"/>
      <c r="M18" s="61"/>
      <c r="N18" s="61"/>
      <c r="O18" s="61"/>
      <c r="P18" s="61"/>
      <c r="Q18" s="61"/>
      <c r="R18" s="61"/>
      <c r="S18" s="61"/>
    </row>
    <row r="19" spans="12:19" x14ac:dyDescent="0.35">
      <c r="L19" s="61"/>
      <c r="M19" s="61"/>
      <c r="N19" s="61"/>
      <c r="O19" s="61"/>
      <c r="P19" s="61"/>
      <c r="Q19" s="61"/>
      <c r="R19" s="61"/>
      <c r="S19" s="61"/>
    </row>
    <row r="20" spans="12:19" x14ac:dyDescent="0.35">
      <c r="L20" s="61"/>
      <c r="M20" s="61"/>
      <c r="N20" s="61"/>
      <c r="O20" s="61"/>
      <c r="P20" s="61"/>
      <c r="Q20" s="61"/>
      <c r="R20" s="61"/>
      <c r="S20" s="61"/>
    </row>
  </sheetData>
  <mergeCells count="2">
    <mergeCell ref="L7:S20"/>
    <mergeCell ref="B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Результат_сцепки_1">
                <anchor moveWithCells="1" sizeWithCells="1">
                  <from>
                    <xdr:col>11</xdr:col>
                    <xdr:colOff>323850</xdr:colOff>
                    <xdr:row>2</xdr:row>
                    <xdr:rowOff>114300</xdr:rowOff>
                  </from>
                  <to>
                    <xdr:col>13</xdr:col>
                    <xdr:colOff>342900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20Хнд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Супервайзер</dc:creator>
  <cp:lastModifiedBy>Пользователь</cp:lastModifiedBy>
  <dcterms:created xsi:type="dcterms:W3CDTF">2018-01-01T11:13:02Z</dcterms:created>
  <dcterms:modified xsi:type="dcterms:W3CDTF">2020-12-03T22:08:44Z</dcterms:modified>
</cp:coreProperties>
</file>